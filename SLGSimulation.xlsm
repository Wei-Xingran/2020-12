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filterPrivacy="1" codeName="ThisWorkbook"/>
  <xr:revisionPtr revIDLastSave="0" documentId="13_ncr:1_{BB195930-6576-42D3-821B-0143CA949B07}" xr6:coauthVersionLast="45" xr6:coauthVersionMax="45" xr10:uidLastSave="{00000000-0000-0000-0000-000000000000}"/>
  <bookViews>
    <workbookView xWindow="-120" yWindow="-120" windowWidth="29040" windowHeight="15840" activeTab="6" xr2:uid="{00000000-000D-0000-FFFF-FFFF00000000}"/>
  </bookViews>
  <sheets>
    <sheet name="兵种属性" sheetId="10" r:id="rId1"/>
    <sheet name="卡牌属性" sheetId="2" r:id="rId2"/>
    <sheet name="圣兽" sheetId="9" r:id="rId3"/>
    <sheet name="常量" sheetId="3" r:id="rId4"/>
    <sheet name="战斗" sheetId="4" r:id="rId5"/>
    <sheet name="逻辑图" sheetId="6" r:id="rId6"/>
    <sheet name="详细公式" sheetId="5" r:id="rId7"/>
    <sheet name="兵种强化" sheetId="8" r:id="rId8"/>
  </sheets>
  <externalReferences>
    <externalReference r:id="rId9"/>
  </externalReferences>
  <definedNames>
    <definedName name="defexport">战斗!$Q$20</definedName>
    <definedName name="defmaster">战斗!$J$2</definedName>
    <definedName name="defsoldier">战斗!$H$8</definedName>
    <definedName name="defsoldier1">兵种强化!$B$16</definedName>
    <definedName name="defsoldier2">兵种强化!$F$16</definedName>
    <definedName name="defsoldier3">兵种强化!$J$16</definedName>
    <definedName name="defsoldier4">兵种强化!$N$16</definedName>
    <definedName name="defsoldier5">兵种强化!$R$16</definedName>
    <definedName name="defsoldier6">兵种强化!$V$16</definedName>
    <definedName name="kind">常量!#REF!</definedName>
    <definedName name="master">卡牌属性!$A$3</definedName>
    <definedName name="monster">兵种属性!$B$50</definedName>
    <definedName name="offexport">战斗!$N$20</definedName>
    <definedName name="offmaster">战斗!$C$2</definedName>
    <definedName name="offsoldier">战斗!$A$8</definedName>
    <definedName name="offsoldier1">兵种强化!$B$2</definedName>
    <definedName name="offsoldier2">兵种强化!$F$2</definedName>
    <definedName name="offsoldier3">兵种强化!$J$2</definedName>
    <definedName name="offsoldier4">兵种强化!$N$2</definedName>
    <definedName name="offsoldier5">兵种强化!$R$2</definedName>
    <definedName name="offsoldier6">兵种强化!$V$2</definedName>
    <definedName name="range">常量!#REF!</definedName>
    <definedName name="restrain">常量!#REF!</definedName>
    <definedName name="sat">战斗!#REF!</definedName>
    <definedName name="soldier1">兵种属性!$B$7</definedName>
    <definedName name="soldier2">兵种属性!$B$35</definedName>
    <definedName name="soldier3">兵种属性!$B$21</definedName>
    <definedName name="soldier4">兵种属性!$L$35</definedName>
    <definedName name="soldier5">兵种属性!$L$21</definedName>
    <definedName name="soldier6">兵种属性!$L$7</definedName>
    <definedName name="sprvalue">常量!#REF!</definedName>
    <definedName name="矿石">IF(!$B1&lt;12,!F1*'[1]资源 '!$N$9*0.5,IF(!$B1&lt;18,!F1*'[1]资源 '!$N$9*0.33,!F1*'[1]资源 '!$N$9*0.25))</definedName>
    <definedName name="灵石">IF(!$B1&lt;12,0,IF(!$B1&lt;18,(!E1)*'[1]资源 '!$K$9*0.33,(!E1)*'[1]资源 '!$K$9*0.25))</definedName>
    <definedName name="时间">!A$4*!$B1^!A$5</definedName>
    <definedName name="仙石">IF(!$B1&lt;18,0,(!D1)*'[1]资源 '!$E$9*0.25)</definedName>
    <definedName name="妖丹">!F1/60*'[1]资源 '!$H$9*'[1]资源 '!$A$9</definedName>
    <definedName name="药材">IF(!$B1&lt;12,!G1*'[1]资源 '!$Q$9*0.5,IF(!$B1&lt;18,!G1*'[1]资源 '!$Q$9*0.33,!G1*'[1]资源 '!$Q$9*0.25))</definedName>
    <definedName name="战斗力">!XFD1^0.75*6</definedName>
  </definedName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1" i="10" l="1"/>
  <c r="R30" i="10"/>
  <c r="R29" i="10"/>
  <c r="R28" i="10"/>
  <c r="R27" i="10"/>
  <c r="R26" i="10"/>
  <c r="R25" i="10"/>
  <c r="R24" i="10"/>
  <c r="R23" i="10"/>
  <c r="R22" i="10"/>
  <c r="R8" i="10"/>
  <c r="F51" i="10" l="1"/>
  <c r="F52" i="10"/>
  <c r="F53" i="10"/>
  <c r="F54" i="10"/>
  <c r="F55" i="10"/>
  <c r="F56" i="10"/>
  <c r="F57" i="10"/>
  <c r="F58" i="10"/>
  <c r="F59" i="10"/>
  <c r="F60" i="10"/>
  <c r="F50" i="10"/>
  <c r="E51" i="10"/>
  <c r="E52" i="10"/>
  <c r="E53" i="10"/>
  <c r="E54" i="10"/>
  <c r="E55" i="10"/>
  <c r="E56" i="10"/>
  <c r="E57" i="10"/>
  <c r="E58" i="10"/>
  <c r="E59" i="10"/>
  <c r="E60" i="10"/>
  <c r="E50" i="10"/>
  <c r="J59" i="10" l="1"/>
  <c r="J60" i="10"/>
  <c r="J58" i="10" l="1"/>
  <c r="J54" i="10"/>
  <c r="J52" i="10"/>
  <c r="J51" i="10"/>
  <c r="J50" i="10"/>
  <c r="J57" i="10" l="1"/>
  <c r="J56" i="10"/>
  <c r="J55" i="10"/>
  <c r="J53" i="10"/>
  <c r="S45" i="10" l="1"/>
  <c r="R45" i="10"/>
  <c r="Q45" i="10"/>
  <c r="U45" i="10" s="1"/>
  <c r="P45" i="10"/>
  <c r="O45" i="10"/>
  <c r="I45" i="10"/>
  <c r="G45" i="10"/>
  <c r="K45" i="10" s="1"/>
  <c r="F45" i="10"/>
  <c r="E45" i="10"/>
  <c r="S44" i="10"/>
  <c r="R44" i="10"/>
  <c r="Q44" i="10"/>
  <c r="U44" i="10" s="1"/>
  <c r="P44" i="10"/>
  <c r="O44" i="10"/>
  <c r="I44" i="10"/>
  <c r="G44" i="10"/>
  <c r="K44" i="10" s="1"/>
  <c r="F44" i="10"/>
  <c r="E44" i="10"/>
  <c r="S43" i="10"/>
  <c r="R43" i="10"/>
  <c r="Q43" i="10"/>
  <c r="U43" i="10" s="1"/>
  <c r="P43" i="10"/>
  <c r="O43" i="10"/>
  <c r="I43" i="10"/>
  <c r="G43" i="10"/>
  <c r="K43" i="10" s="1"/>
  <c r="F43" i="10"/>
  <c r="E43" i="10"/>
  <c r="S42" i="10"/>
  <c r="R42" i="10"/>
  <c r="Q42" i="10"/>
  <c r="U42" i="10" s="1"/>
  <c r="P42" i="10"/>
  <c r="O42" i="10"/>
  <c r="I42" i="10"/>
  <c r="G42" i="10"/>
  <c r="K42" i="10" s="1"/>
  <c r="F42" i="10"/>
  <c r="E42" i="10"/>
  <c r="U41" i="10"/>
  <c r="S41" i="10"/>
  <c r="R41" i="10"/>
  <c r="Q41" i="10"/>
  <c r="P41" i="10"/>
  <c r="O41" i="10"/>
  <c r="I41" i="10"/>
  <c r="G41" i="10"/>
  <c r="K41" i="10" s="1"/>
  <c r="F41" i="10"/>
  <c r="E41" i="10"/>
  <c r="J41" i="10" s="1"/>
  <c r="S40" i="10"/>
  <c r="R40" i="10"/>
  <c r="Q40" i="10"/>
  <c r="U40" i="10" s="1"/>
  <c r="P40" i="10"/>
  <c r="O40" i="10"/>
  <c r="I40" i="10"/>
  <c r="G40" i="10"/>
  <c r="K40" i="10" s="1"/>
  <c r="F40" i="10"/>
  <c r="J40" i="10" s="1"/>
  <c r="E40" i="10"/>
  <c r="S39" i="10"/>
  <c r="R39" i="10"/>
  <c r="Q39" i="10"/>
  <c r="U39" i="10" s="1"/>
  <c r="P39" i="10"/>
  <c r="O39" i="10"/>
  <c r="I39" i="10"/>
  <c r="G39" i="10"/>
  <c r="K39" i="10" s="1"/>
  <c r="F39" i="10"/>
  <c r="E39" i="10"/>
  <c r="S38" i="10"/>
  <c r="R38" i="10"/>
  <c r="Q38" i="10"/>
  <c r="U38" i="10" s="1"/>
  <c r="P38" i="10"/>
  <c r="O38" i="10"/>
  <c r="I38" i="10"/>
  <c r="G38" i="10"/>
  <c r="K38" i="10" s="1"/>
  <c r="F38" i="10"/>
  <c r="E38" i="10"/>
  <c r="S37" i="10"/>
  <c r="R37" i="10"/>
  <c r="Q37" i="10"/>
  <c r="U37" i="10" s="1"/>
  <c r="P37" i="10"/>
  <c r="O37" i="10"/>
  <c r="K37" i="10"/>
  <c r="I37" i="10"/>
  <c r="G37" i="10"/>
  <c r="F37" i="10"/>
  <c r="E37" i="10"/>
  <c r="S36" i="10"/>
  <c r="R36" i="10"/>
  <c r="Q36" i="10"/>
  <c r="U36" i="10" s="1"/>
  <c r="P36" i="10"/>
  <c r="O36" i="10"/>
  <c r="I36" i="10"/>
  <c r="G36" i="10"/>
  <c r="K36" i="10" s="1"/>
  <c r="F36" i="10"/>
  <c r="E36" i="10"/>
  <c r="U35" i="10"/>
  <c r="T35" i="10"/>
  <c r="K35" i="10"/>
  <c r="J35" i="10"/>
  <c r="U31" i="10"/>
  <c r="Q31" i="10"/>
  <c r="P31" i="10"/>
  <c r="O31" i="10"/>
  <c r="T31" i="10" s="1"/>
  <c r="G31" i="10"/>
  <c r="K31" i="10" s="1"/>
  <c r="F31" i="10"/>
  <c r="E31" i="10"/>
  <c r="Q30" i="10"/>
  <c r="U30" i="10" s="1"/>
  <c r="P30" i="10"/>
  <c r="O30" i="10"/>
  <c r="T30" i="10" s="1"/>
  <c r="G30" i="10"/>
  <c r="K30" i="10" s="1"/>
  <c r="F30" i="10"/>
  <c r="E30" i="10"/>
  <c r="Q29" i="10"/>
  <c r="U29" i="10" s="1"/>
  <c r="P29" i="10"/>
  <c r="O29" i="10"/>
  <c r="G29" i="10"/>
  <c r="K29" i="10" s="1"/>
  <c r="F29" i="10"/>
  <c r="E29" i="10"/>
  <c r="J29" i="10" s="1"/>
  <c r="Q28" i="10"/>
  <c r="U28" i="10" s="1"/>
  <c r="P28" i="10"/>
  <c r="O28" i="10"/>
  <c r="G28" i="10"/>
  <c r="K28" i="10" s="1"/>
  <c r="F28" i="10"/>
  <c r="E28" i="10"/>
  <c r="Q27" i="10"/>
  <c r="U27" i="10" s="1"/>
  <c r="P27" i="10"/>
  <c r="O27" i="10"/>
  <c r="G27" i="10"/>
  <c r="K27" i="10" s="1"/>
  <c r="F27" i="10"/>
  <c r="E27" i="10"/>
  <c r="Q26" i="10"/>
  <c r="U26" i="10" s="1"/>
  <c r="P26" i="10"/>
  <c r="O26" i="10"/>
  <c r="G26" i="10"/>
  <c r="J26" i="10" s="1"/>
  <c r="F26" i="10"/>
  <c r="E26" i="10"/>
  <c r="Q25" i="10"/>
  <c r="U25" i="10" s="1"/>
  <c r="P25" i="10"/>
  <c r="O25" i="10"/>
  <c r="G25" i="10"/>
  <c r="K25" i="10" s="1"/>
  <c r="F25" i="10"/>
  <c r="E25" i="10"/>
  <c r="U24" i="10"/>
  <c r="Q24" i="10"/>
  <c r="P24" i="10"/>
  <c r="O24" i="10"/>
  <c r="G24" i="10"/>
  <c r="K24" i="10" s="1"/>
  <c r="F24" i="10"/>
  <c r="E24" i="10"/>
  <c r="Q23" i="10"/>
  <c r="U23" i="10" s="1"/>
  <c r="P23" i="10"/>
  <c r="O23" i="10"/>
  <c r="G23" i="10"/>
  <c r="K23" i="10" s="1"/>
  <c r="F23" i="10"/>
  <c r="E23" i="10"/>
  <c r="Q22" i="10"/>
  <c r="U22" i="10" s="1"/>
  <c r="P22" i="10"/>
  <c r="O22" i="10"/>
  <c r="G22" i="10"/>
  <c r="K22" i="10" s="1"/>
  <c r="F22" i="10"/>
  <c r="E22" i="10"/>
  <c r="U21" i="10"/>
  <c r="T21" i="10"/>
  <c r="K21" i="10"/>
  <c r="J21" i="10"/>
  <c r="U17" i="10"/>
  <c r="R17" i="10"/>
  <c r="Q17" i="10"/>
  <c r="P17" i="10"/>
  <c r="O17" i="10"/>
  <c r="I17" i="10"/>
  <c r="G17" i="10"/>
  <c r="K17" i="10" s="1"/>
  <c r="F17" i="10"/>
  <c r="E17" i="10"/>
  <c r="R16" i="10"/>
  <c r="Q16" i="10"/>
  <c r="U16" i="10" s="1"/>
  <c r="P16" i="10"/>
  <c r="O16" i="10"/>
  <c r="K16" i="10"/>
  <c r="I16" i="10"/>
  <c r="G16" i="10"/>
  <c r="F16" i="10"/>
  <c r="E16" i="10"/>
  <c r="R15" i="10"/>
  <c r="Q15" i="10"/>
  <c r="U15" i="10" s="1"/>
  <c r="P15" i="10"/>
  <c r="O15" i="10"/>
  <c r="K15" i="10"/>
  <c r="I15" i="10"/>
  <c r="G15" i="10"/>
  <c r="F15" i="10"/>
  <c r="E15" i="10"/>
  <c r="R14" i="10"/>
  <c r="Q14" i="10"/>
  <c r="U14" i="10" s="1"/>
  <c r="P14" i="10"/>
  <c r="O14" i="10"/>
  <c r="I14" i="10"/>
  <c r="G14" i="10"/>
  <c r="K14" i="10" s="1"/>
  <c r="F14" i="10"/>
  <c r="E14" i="10"/>
  <c r="R13" i="10"/>
  <c r="Q13" i="10"/>
  <c r="U13" i="10" s="1"/>
  <c r="P13" i="10"/>
  <c r="O13" i="10"/>
  <c r="K13" i="10"/>
  <c r="I13" i="10"/>
  <c r="G13" i="10"/>
  <c r="F13" i="10"/>
  <c r="E13" i="10"/>
  <c r="R12" i="10"/>
  <c r="Q12" i="10"/>
  <c r="U12" i="10" s="1"/>
  <c r="P12" i="10"/>
  <c r="O12" i="10"/>
  <c r="K12" i="10"/>
  <c r="I12" i="10"/>
  <c r="G12" i="10"/>
  <c r="F12" i="10"/>
  <c r="E12" i="10"/>
  <c r="U11" i="10"/>
  <c r="R11" i="10"/>
  <c r="Q11" i="10"/>
  <c r="P11" i="10"/>
  <c r="O11" i="10"/>
  <c r="I11" i="10"/>
  <c r="G11" i="10"/>
  <c r="K11" i="10" s="1"/>
  <c r="F11" i="10"/>
  <c r="E11" i="10"/>
  <c r="R10" i="10"/>
  <c r="Q10" i="10"/>
  <c r="U10" i="10" s="1"/>
  <c r="P10" i="10"/>
  <c r="O10" i="10"/>
  <c r="K10" i="10"/>
  <c r="I10" i="10"/>
  <c r="G10" i="10"/>
  <c r="F10" i="10"/>
  <c r="E10" i="10"/>
  <c r="R9" i="10"/>
  <c r="Q9" i="10"/>
  <c r="U9" i="10" s="1"/>
  <c r="P9" i="10"/>
  <c r="O9" i="10"/>
  <c r="K9" i="10"/>
  <c r="I9" i="10"/>
  <c r="G9" i="10"/>
  <c r="F9" i="10"/>
  <c r="E9" i="10"/>
  <c r="Q8" i="10"/>
  <c r="U8" i="10" s="1"/>
  <c r="P8" i="10"/>
  <c r="O8" i="10"/>
  <c r="I8" i="10"/>
  <c r="G8" i="10"/>
  <c r="K8" i="10" s="1"/>
  <c r="F8" i="10"/>
  <c r="E8" i="10"/>
  <c r="U7" i="10"/>
  <c r="T7" i="10"/>
  <c r="K7" i="10"/>
  <c r="J7" i="10"/>
  <c r="J10" i="10" l="1"/>
  <c r="J16" i="10"/>
  <c r="T24" i="10"/>
  <c r="K26" i="10"/>
  <c r="T9" i="10"/>
  <c r="T15" i="10"/>
  <c r="T39" i="10"/>
  <c r="J13" i="10"/>
  <c r="T36" i="10"/>
  <c r="J37" i="10"/>
  <c r="T42" i="10"/>
  <c r="J43" i="10"/>
  <c r="J45" i="10"/>
  <c r="T12" i="10"/>
  <c r="T28" i="10"/>
  <c r="T25" i="10"/>
  <c r="T26" i="10"/>
  <c r="T8" i="10"/>
  <c r="T11" i="10"/>
  <c r="T14" i="10"/>
  <c r="T17" i="10"/>
  <c r="T22" i="10"/>
  <c r="T29" i="10"/>
  <c r="J30" i="10"/>
  <c r="T44" i="10"/>
  <c r="T45" i="10"/>
  <c r="J8" i="10"/>
  <c r="J11" i="10"/>
  <c r="J14" i="10"/>
  <c r="J17" i="10"/>
  <c r="J25" i="10"/>
  <c r="J38" i="10"/>
  <c r="J44" i="10"/>
  <c r="T10" i="10"/>
  <c r="T13" i="10"/>
  <c r="T16" i="10"/>
  <c r="T23" i="10"/>
  <c r="J24" i="10"/>
  <c r="T27" i="10"/>
  <c r="J28" i="10"/>
  <c r="J36" i="10"/>
  <c r="T37" i="10"/>
  <c r="T41" i="10"/>
  <c r="J42" i="10"/>
  <c r="T43" i="10"/>
  <c r="J22" i="10"/>
  <c r="J9" i="10"/>
  <c r="J12" i="10"/>
  <c r="J15" i="10"/>
  <c r="J23" i="10"/>
  <c r="J31" i="10"/>
  <c r="T38" i="10"/>
  <c r="J39" i="10"/>
  <c r="T40" i="10"/>
  <c r="J27" i="10"/>
  <c r="E6" i="4" l="1"/>
  <c r="D6" i="4"/>
  <c r="C6" i="4"/>
  <c r="L6" i="4"/>
  <c r="K6" i="4"/>
  <c r="J6" i="4"/>
  <c r="D7" i="4" l="1"/>
  <c r="C7" i="4"/>
</calcChain>
</file>

<file path=xl/sharedStrings.xml><?xml version="1.0" encoding="utf-8"?>
<sst xmlns="http://schemas.openxmlformats.org/spreadsheetml/2006/main" count="606" uniqueCount="225">
  <si>
    <t>等级</t>
    <phoneticPr fontId="3" type="noConversion"/>
  </si>
  <si>
    <t>兵种</t>
    <phoneticPr fontId="3" type="noConversion"/>
  </si>
  <si>
    <t>体力</t>
    <phoneticPr fontId="3" type="noConversion"/>
  </si>
  <si>
    <t>防御</t>
    <phoneticPr fontId="3" type="noConversion"/>
  </si>
  <si>
    <t>攻击</t>
    <phoneticPr fontId="3" type="noConversion"/>
  </si>
  <si>
    <t>id</t>
  </si>
  <si>
    <t>name</t>
  </si>
  <si>
    <t>主动技能</t>
  </si>
  <si>
    <t>士兵上限</t>
    <phoneticPr fontId="3" type="noConversion"/>
  </si>
  <si>
    <t>血量</t>
    <phoneticPr fontId="3" type="noConversion"/>
  </si>
  <si>
    <t>攻击方</t>
  </si>
  <si>
    <t>防守方</t>
  </si>
  <si>
    <t>参战军队战力</t>
  </si>
  <si>
    <t>击杀数量</t>
  </si>
  <si>
    <t>损失数量</t>
  </si>
  <si>
    <t>存活</t>
  </si>
  <si>
    <t>损失战力</t>
  </si>
  <si>
    <t>剩余战力</t>
  </si>
  <si>
    <t>参战军队战力</t>
    <phoneticPr fontId="3" type="noConversion"/>
  </si>
  <si>
    <t>参战军队数量</t>
    <phoneticPr fontId="3" type="noConversion"/>
  </si>
  <si>
    <t>战斗力</t>
    <phoneticPr fontId="3" type="noConversion"/>
  </si>
  <si>
    <t>伤亡率</t>
    <phoneticPr fontId="3" type="noConversion"/>
  </si>
  <si>
    <t>优先打后排</t>
    <phoneticPr fontId="3" type="noConversion"/>
  </si>
  <si>
    <t>高体力</t>
    <phoneticPr fontId="3" type="noConversion"/>
  </si>
  <si>
    <t>高攻击</t>
    <phoneticPr fontId="3" type="noConversion"/>
  </si>
  <si>
    <t>aoe攻击</t>
    <phoneticPr fontId="3" type="noConversion"/>
  </si>
  <si>
    <t>无视防御</t>
    <phoneticPr fontId="3" type="noConversion"/>
  </si>
  <si>
    <t>高防御</t>
    <phoneticPr fontId="3" type="noConversion"/>
  </si>
  <si>
    <t>数量稀释</t>
    <phoneticPr fontId="3" type="noConversion"/>
  </si>
  <si>
    <t>无</t>
    <phoneticPr fontId="3" type="noConversion"/>
  </si>
  <si>
    <t>类型</t>
    <phoneticPr fontId="3" type="noConversion"/>
  </si>
  <si>
    <t>ignoredef</t>
    <phoneticPr fontId="3" type="noConversion"/>
  </si>
  <si>
    <t>assasin</t>
    <phoneticPr fontId="3" type="noConversion"/>
  </si>
  <si>
    <t>aoe1</t>
    <phoneticPr fontId="3" type="noConversion"/>
  </si>
  <si>
    <t>aoe2</t>
    <phoneticPr fontId="3" type="noConversion"/>
  </si>
  <si>
    <t>aoe3</t>
    <phoneticPr fontId="3" type="noConversion"/>
  </si>
  <si>
    <t>防御系数</t>
    <phoneticPr fontId="3" type="noConversion"/>
  </si>
  <si>
    <t>level</t>
    <phoneticPr fontId="3" type="noConversion"/>
  </si>
  <si>
    <t>暴伤</t>
    <phoneticPr fontId="3" type="noConversion"/>
  </si>
  <si>
    <t>抗暴</t>
    <phoneticPr fontId="3" type="noConversion"/>
  </si>
  <si>
    <t>命中</t>
    <phoneticPr fontId="3" type="noConversion"/>
  </si>
  <si>
    <t>闪避</t>
    <phoneticPr fontId="3" type="noConversion"/>
  </si>
  <si>
    <t>增伤</t>
    <phoneticPr fontId="3" type="noConversion"/>
  </si>
  <si>
    <t>减伤</t>
    <phoneticPr fontId="3" type="noConversion"/>
  </si>
  <si>
    <t xml:space="preserve"> </t>
    <phoneticPr fontId="3" type="noConversion"/>
  </si>
  <si>
    <t>暴击率</t>
    <phoneticPr fontId="3" type="noConversion"/>
  </si>
  <si>
    <t>速度</t>
    <phoneticPr fontId="3" type="noConversion"/>
  </si>
  <si>
    <t>负重</t>
    <phoneticPr fontId="3" type="noConversion"/>
  </si>
  <si>
    <t>无视护甲</t>
    <phoneticPr fontId="3" type="noConversion"/>
  </si>
  <si>
    <t>攻击后排</t>
    <phoneticPr fontId="3" type="noConversion"/>
  </si>
  <si>
    <t>输入循环数</t>
    <phoneticPr fontId="3" type="noConversion"/>
  </si>
  <si>
    <t>总回合数</t>
    <phoneticPr fontId="3" type="noConversion"/>
  </si>
  <si>
    <t>运行时间s</t>
    <phoneticPr fontId="3" type="noConversion"/>
  </si>
  <si>
    <t>守山圣兽</t>
    <phoneticPr fontId="3" type="noConversion"/>
  </si>
  <si>
    <t>能量</t>
    <phoneticPr fontId="3" type="noConversion"/>
  </si>
  <si>
    <t>圣兽等级</t>
    <phoneticPr fontId="3" type="noConversion"/>
  </si>
  <si>
    <t>圣兽血量剩余</t>
    <phoneticPr fontId="3" type="noConversion"/>
  </si>
  <si>
    <t>等级</t>
    <phoneticPr fontId="3" type="noConversion"/>
  </si>
  <si>
    <t>加成</t>
    <phoneticPr fontId="3" type="noConversion"/>
  </si>
  <si>
    <t>进攻方</t>
    <phoneticPr fontId="3" type="noConversion"/>
  </si>
  <si>
    <t>属性</t>
    <phoneticPr fontId="3" type="noConversion"/>
  </si>
  <si>
    <t>AOE</t>
    <phoneticPr fontId="3" type="noConversion"/>
  </si>
  <si>
    <t>防守方</t>
    <phoneticPr fontId="3" type="noConversion"/>
  </si>
  <si>
    <t>体力</t>
  </si>
  <si>
    <t>攻击</t>
  </si>
  <si>
    <t>防御</t>
  </si>
  <si>
    <t>负重</t>
  </si>
  <si>
    <t>速度</t>
  </si>
  <si>
    <t>对应战力</t>
  </si>
  <si>
    <t>名称</t>
  </si>
  <si>
    <t>进攻方队列</t>
    <phoneticPr fontId="3" type="noConversion"/>
  </si>
  <si>
    <t>防守方队列</t>
    <phoneticPr fontId="3" type="noConversion"/>
  </si>
  <si>
    <t>进攻方胜利</t>
    <phoneticPr fontId="3" type="noConversion"/>
  </si>
  <si>
    <t>野怪1</t>
    <phoneticPr fontId="3" type="noConversion"/>
  </si>
  <si>
    <t>野怪2</t>
  </si>
  <si>
    <t>野怪3</t>
  </si>
  <si>
    <t>野怪4</t>
  </si>
  <si>
    <t>野怪5</t>
  </si>
  <si>
    <t>野怪6</t>
  </si>
  <si>
    <t>野怪7</t>
  </si>
  <si>
    <t>野怪8</t>
  </si>
  <si>
    <t>野怪9</t>
  </si>
  <si>
    <t>野怪10</t>
  </si>
  <si>
    <t>野怪11</t>
  </si>
  <si>
    <t>A士兵1</t>
    <phoneticPr fontId="3" type="noConversion"/>
  </si>
  <si>
    <t>A士兵2</t>
  </si>
  <si>
    <t>A士兵3</t>
  </si>
  <si>
    <t>A士兵4</t>
  </si>
  <si>
    <t>A士兵5</t>
  </si>
  <si>
    <t>A士兵6</t>
  </si>
  <si>
    <t>A士兵7</t>
  </si>
  <si>
    <t>A士兵8</t>
  </si>
  <si>
    <t>A士兵9</t>
  </si>
  <si>
    <t>A士兵10</t>
  </si>
  <si>
    <t>A士兵11</t>
  </si>
  <si>
    <t>B士兵1</t>
    <phoneticPr fontId="3" type="noConversion"/>
  </si>
  <si>
    <t>B士兵2</t>
  </si>
  <si>
    <t>B士兵3</t>
  </si>
  <si>
    <t>B士兵4</t>
  </si>
  <si>
    <t>B士兵5</t>
  </si>
  <si>
    <t>B士兵6</t>
  </si>
  <si>
    <t>B士兵7</t>
  </si>
  <si>
    <t>B士兵8</t>
  </si>
  <si>
    <t>B士兵9</t>
  </si>
  <si>
    <t>B士兵10</t>
  </si>
  <si>
    <t>B士兵11</t>
  </si>
  <si>
    <t>C士兵1</t>
    <phoneticPr fontId="3" type="noConversion"/>
  </si>
  <si>
    <t>C士兵2</t>
  </si>
  <si>
    <t>C士兵3</t>
  </si>
  <si>
    <t>C士兵4</t>
  </si>
  <si>
    <t>C士兵5</t>
  </si>
  <si>
    <t>C士兵6</t>
  </si>
  <si>
    <t>C士兵7</t>
  </si>
  <si>
    <t>C士兵8</t>
  </si>
  <si>
    <t>C士兵9</t>
  </si>
  <si>
    <t>C士兵10</t>
  </si>
  <si>
    <t>C士兵11</t>
  </si>
  <si>
    <t>D士兵1</t>
    <phoneticPr fontId="3" type="noConversion"/>
  </si>
  <si>
    <t>D士兵2</t>
  </si>
  <si>
    <t>D士兵3</t>
  </si>
  <si>
    <t>D士兵4</t>
  </si>
  <si>
    <t>D士兵5</t>
  </si>
  <si>
    <t>D士兵6</t>
  </si>
  <si>
    <t>D士兵7</t>
  </si>
  <si>
    <t>D士兵8</t>
  </si>
  <si>
    <t>D士兵9</t>
  </si>
  <si>
    <t>D士兵10</t>
  </si>
  <si>
    <t>D士兵11</t>
  </si>
  <si>
    <t>E士兵1</t>
    <phoneticPr fontId="3" type="noConversion"/>
  </si>
  <si>
    <t>E士兵2</t>
  </si>
  <si>
    <t>E士兵3</t>
  </si>
  <si>
    <t>E士兵4</t>
  </si>
  <si>
    <t>E士兵5</t>
  </si>
  <si>
    <t>E士兵6</t>
  </si>
  <si>
    <t>E士兵7</t>
  </si>
  <si>
    <t>E士兵8</t>
  </si>
  <si>
    <t>E士兵9</t>
  </si>
  <si>
    <t>E士兵10</t>
  </si>
  <si>
    <t>E士兵11</t>
  </si>
  <si>
    <t>F士兵1</t>
    <phoneticPr fontId="3" type="noConversion"/>
  </si>
  <si>
    <t>F士兵2</t>
  </si>
  <si>
    <t>F士兵3</t>
  </si>
  <si>
    <t>F士兵4</t>
  </si>
  <si>
    <t>F士兵5</t>
  </si>
  <si>
    <t>F士兵6</t>
  </si>
  <si>
    <t>F士兵7</t>
  </si>
  <si>
    <t>F士兵8</t>
  </si>
  <si>
    <t>F士兵9</t>
  </si>
  <si>
    <t>F士兵10</t>
  </si>
  <si>
    <t>F士兵11</t>
  </si>
  <si>
    <t>组合</t>
    <phoneticPr fontId="3" type="noConversion"/>
  </si>
  <si>
    <t>卡牌1</t>
  </si>
  <si>
    <t>卡牌2</t>
  </si>
  <si>
    <t>卡牌3</t>
  </si>
  <si>
    <t>卡牌4</t>
  </si>
  <si>
    <t>卡牌5</t>
  </si>
  <si>
    <t>卡牌6</t>
  </si>
  <si>
    <t>卡牌7</t>
  </si>
  <si>
    <t>卡牌8</t>
  </si>
  <si>
    <t>卡牌9</t>
  </si>
  <si>
    <t>卡牌10</t>
  </si>
  <si>
    <t>卡牌11</t>
  </si>
  <si>
    <t>卡牌12</t>
  </si>
  <si>
    <t>卡牌13</t>
  </si>
  <si>
    <t>卡牌14</t>
  </si>
  <si>
    <t>卡牌15</t>
  </si>
  <si>
    <t>卡牌16</t>
  </si>
  <si>
    <t>卡牌17</t>
  </si>
  <si>
    <t>卡牌18</t>
  </si>
  <si>
    <t>卡牌19</t>
  </si>
  <si>
    <t>卡牌20</t>
  </si>
  <si>
    <t>卡牌21</t>
  </si>
  <si>
    <t>卡牌22</t>
  </si>
  <si>
    <t>卡牌23</t>
  </si>
  <si>
    <t>卡牌24</t>
  </si>
  <si>
    <t>卡牌25</t>
  </si>
  <si>
    <t>卡牌26</t>
  </si>
  <si>
    <t>卡牌27</t>
  </si>
  <si>
    <t>卡牌28</t>
  </si>
  <si>
    <t>卡牌29</t>
  </si>
  <si>
    <t>卡牌30</t>
  </si>
  <si>
    <t>卡牌31</t>
  </si>
  <si>
    <t>卡牌32</t>
  </si>
  <si>
    <t>卡牌33</t>
  </si>
  <si>
    <t>卡牌34</t>
  </si>
  <si>
    <t>卡牌35</t>
  </si>
  <si>
    <t>卡牌36</t>
  </si>
  <si>
    <t>卡牌37</t>
  </si>
  <si>
    <t>卡牌38</t>
  </si>
  <si>
    <t>卡牌39</t>
  </si>
  <si>
    <t>卡牌0</t>
    <phoneticPr fontId="3" type="noConversion"/>
  </si>
  <si>
    <t>属性1</t>
    <phoneticPr fontId="3" type="noConversion"/>
  </si>
  <si>
    <t>属性2</t>
  </si>
  <si>
    <t>属性3</t>
  </si>
  <si>
    <t>属性4</t>
  </si>
  <si>
    <t>栏位1（攻击）</t>
    <phoneticPr fontId="3" type="noConversion"/>
  </si>
  <si>
    <t>进攻方卡牌</t>
    <phoneticPr fontId="3" type="noConversion"/>
  </si>
  <si>
    <t>防守方卡牌</t>
    <phoneticPr fontId="3" type="noConversion"/>
  </si>
  <si>
    <t>选择卡牌</t>
    <phoneticPr fontId="3" type="noConversion"/>
  </si>
  <si>
    <t>A士兵</t>
    <phoneticPr fontId="3" type="noConversion"/>
  </si>
  <si>
    <t>B士兵</t>
    <phoneticPr fontId="3" type="noConversion"/>
  </si>
  <si>
    <t>C士兵</t>
    <phoneticPr fontId="3" type="noConversion"/>
  </si>
  <si>
    <t>D士兵</t>
    <phoneticPr fontId="3" type="noConversion"/>
  </si>
  <si>
    <t>E士兵</t>
    <phoneticPr fontId="3" type="noConversion"/>
  </si>
  <si>
    <t>F士兵</t>
    <phoneticPr fontId="3" type="noConversion"/>
  </si>
  <si>
    <t>卡牌属性加成</t>
    <phoneticPr fontId="3" type="noConversion"/>
  </si>
  <si>
    <t>A士兵2</t>
    <phoneticPr fontId="3" type="noConversion"/>
  </si>
  <si>
    <t>A士兵3</t>
    <phoneticPr fontId="3" type="noConversion"/>
  </si>
  <si>
    <t>A士兵4</t>
    <phoneticPr fontId="3" type="noConversion"/>
  </si>
  <si>
    <t>A士兵5</t>
    <phoneticPr fontId="3" type="noConversion"/>
  </si>
  <si>
    <t>A士兵6</t>
    <phoneticPr fontId="3" type="noConversion"/>
  </si>
  <si>
    <t>A士兵7</t>
    <phoneticPr fontId="3" type="noConversion"/>
  </si>
  <si>
    <t>A士兵8</t>
    <phoneticPr fontId="3" type="noConversion"/>
  </si>
  <si>
    <t>A士兵9</t>
    <phoneticPr fontId="3" type="noConversion"/>
  </si>
  <si>
    <t>A士兵10</t>
    <phoneticPr fontId="3" type="noConversion"/>
  </si>
  <si>
    <t>A士兵11</t>
    <phoneticPr fontId="3" type="noConversion"/>
  </si>
  <si>
    <t>B士兵1</t>
  </si>
  <si>
    <t>C士兵1</t>
  </si>
  <si>
    <t>D士兵1</t>
  </si>
  <si>
    <t>E士兵1</t>
  </si>
  <si>
    <t>F士兵1</t>
  </si>
  <si>
    <t>栏位2（士兵上限）</t>
    <phoneticPr fontId="3" type="noConversion"/>
  </si>
  <si>
    <t>栏位3（防御）</t>
    <phoneticPr fontId="3" type="noConversion"/>
  </si>
  <si>
    <t>栏位4（血量）</t>
    <phoneticPr fontId="3" type="noConversion"/>
  </si>
  <si>
    <t>内容已删除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</si>
</sst>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,##0_ "/>
    <numFmt numFmtId="177" formatCode="0;[Red]0"/>
    <numFmt numFmtId="178" formatCode="0.000;[Red]0.000"/>
    <numFmt numFmtId="179" formatCode="0.0;[Red]0.0"/>
    <numFmt numFmtId="180" formatCode="0_);[Red]\(0\)"/>
    <numFmt numFmtId="181" formatCode="0.00000_ "/>
    <numFmt numFmtId="182" formatCode="0_ "/>
    <numFmt numFmtId="183" formatCode="0.0_ "/>
    <numFmt numFmtId="184" formatCode="0.00_ "/>
  </numFmts>
  <fonts count="13" x14ac:knownFonts="1">
    <font>
      <sz val="11"/>
      <color theme="1"/>
      <name val="等线"/>
      <family val="2"/>
      <scheme val="minor"/>
    </font>
    <font>
      <sz val="11"/>
      <color rgb="FF9C57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1"/>
      <color rgb="FF3F3F76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theme="1"/>
      <name val="等线"/>
      <charset val="134"/>
      <scheme val="minor"/>
    </font>
    <font>
      <sz val="11"/>
      <name val="等线"/>
      <family val="2"/>
      <scheme val="minor"/>
    </font>
    <font>
      <sz val="1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0" borderId="0">
      <alignment vertical="center"/>
    </xf>
    <xf numFmtId="0" fontId="5" fillId="10" borderId="11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11" borderId="11" applyNumberForma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0" borderId="0">
      <alignment vertical="center"/>
    </xf>
  </cellStyleXfs>
  <cellXfs count="85">
    <xf numFmtId="0" fontId="0" fillId="0" borderId="0" xfId="0"/>
    <xf numFmtId="0" fontId="0" fillId="0" borderId="0" xfId="0" applyAlignment="1">
      <alignment horizontal="center"/>
    </xf>
    <xf numFmtId="0" fontId="0" fillId="0" borderId="2" xfId="2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4" borderId="5" xfId="0" applyFill="1" applyBorder="1" applyAlignment="1">
      <alignment vertical="center"/>
    </xf>
    <xf numFmtId="0" fontId="0" fillId="4" borderId="6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5" borderId="5" xfId="0" applyFill="1" applyBorder="1" applyAlignment="1">
      <alignment vertical="center"/>
    </xf>
    <xf numFmtId="176" fontId="0" fillId="5" borderId="6" xfId="0" applyNumberFormat="1" applyFill="1" applyBorder="1" applyAlignment="1">
      <alignment horizontal="center" vertical="center"/>
    </xf>
    <xf numFmtId="0" fontId="0" fillId="6" borderId="5" xfId="0" applyFill="1" applyBorder="1" applyAlignment="1">
      <alignment vertical="center"/>
    </xf>
    <xf numFmtId="176" fontId="0" fillId="6" borderId="6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vertical="center"/>
    </xf>
    <xf numFmtId="176" fontId="0" fillId="6" borderId="8" xfId="0" applyNumberFormat="1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176" fontId="0" fillId="0" borderId="6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176" fontId="0" fillId="0" borderId="10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176" fontId="0" fillId="0" borderId="8" xfId="0" applyNumberFormat="1" applyBorder="1" applyAlignment="1">
      <alignment horizontal="center" vertical="center"/>
    </xf>
    <xf numFmtId="0" fontId="0" fillId="8" borderId="0" xfId="0" applyFill="1" applyAlignment="1">
      <alignment vertical="center"/>
    </xf>
    <xf numFmtId="0" fontId="2" fillId="0" borderId="0" xfId="0" applyFont="1" applyAlignment="1">
      <alignment vertical="center"/>
    </xf>
    <xf numFmtId="0" fontId="0" fillId="9" borderId="0" xfId="0" applyFill="1" applyAlignment="1">
      <alignment vertical="center"/>
    </xf>
    <xf numFmtId="0" fontId="4" fillId="9" borderId="0" xfId="0" applyFont="1" applyFill="1" applyAlignment="1">
      <alignment vertical="center"/>
    </xf>
    <xf numFmtId="178" fontId="2" fillId="0" borderId="0" xfId="2" applyNumberFormat="1">
      <alignment vertical="center"/>
    </xf>
    <xf numFmtId="180" fontId="2" fillId="0" borderId="0" xfId="2" applyNumberFormat="1">
      <alignment vertical="center"/>
    </xf>
    <xf numFmtId="181" fontId="0" fillId="7" borderId="4" xfId="0" applyNumberFormat="1" applyFill="1" applyBorder="1" applyAlignment="1">
      <alignment vertical="center"/>
    </xf>
    <xf numFmtId="0" fontId="5" fillId="10" borderId="11" xfId="3" applyAlignment="1">
      <alignment horizontal="center"/>
    </xf>
    <xf numFmtId="0" fontId="5" fillId="10" borderId="11" xfId="3" applyAlignment="1">
      <alignment horizontal="center" vertical="center"/>
    </xf>
    <xf numFmtId="0" fontId="6" fillId="0" borderId="0" xfId="4" applyFill="1" applyBorder="1" applyAlignment="1">
      <alignment horizontal="center" vertical="center"/>
    </xf>
    <xf numFmtId="0" fontId="6" fillId="0" borderId="0" xfId="4" applyAlignment="1"/>
    <xf numFmtId="0" fontId="2" fillId="0" borderId="0" xfId="2" applyAlignment="1">
      <alignment horizontal="center" vertical="center"/>
    </xf>
    <xf numFmtId="0" fontId="2" fillId="0" borderId="12" xfId="2" applyBorder="1" applyAlignment="1">
      <alignment horizontal="center" vertical="center"/>
    </xf>
    <xf numFmtId="0" fontId="7" fillId="11" borderId="11" xfId="5" applyAlignment="1">
      <alignment horizontal="center" vertical="center"/>
    </xf>
    <xf numFmtId="0" fontId="7" fillId="11" borderId="11" xfId="5" applyAlignment="1">
      <alignment horizontal="center"/>
    </xf>
    <xf numFmtId="182" fontId="2" fillId="3" borderId="12" xfId="0" applyNumberFormat="1" applyFont="1" applyFill="1" applyBorder="1" applyAlignment="1">
      <alignment horizontal="right" vertical="center"/>
    </xf>
    <xf numFmtId="182" fontId="0" fillId="0" borderId="0" xfId="0" applyNumberFormat="1"/>
    <xf numFmtId="0" fontId="0" fillId="0" borderId="0" xfId="0" applyAlignment="1">
      <alignment horizontal="left"/>
    </xf>
    <xf numFmtId="0" fontId="2" fillId="0" borderId="0" xfId="2" applyAlignment="1">
      <alignment horizontal="center" vertical="center"/>
    </xf>
    <xf numFmtId="0" fontId="1" fillId="2" borderId="12" xfId="1" applyBorder="1" applyAlignment="1">
      <alignment horizontal="center" vertical="center"/>
    </xf>
    <xf numFmtId="0" fontId="2" fillId="0" borderId="13" xfId="2" applyBorder="1" applyAlignment="1">
      <alignment horizontal="center" vertical="center"/>
    </xf>
    <xf numFmtId="0" fontId="8" fillId="12" borderId="12" xfId="6" applyBorder="1" applyAlignment="1">
      <alignment horizontal="center" vertical="center"/>
    </xf>
    <xf numFmtId="0" fontId="1" fillId="2" borderId="14" xfId="1" applyBorder="1" applyAlignment="1">
      <alignment horizontal="center" vertical="center"/>
    </xf>
    <xf numFmtId="0" fontId="2" fillId="13" borderId="2" xfId="2" applyFill="1" applyBorder="1" applyAlignment="1">
      <alignment horizontal="center" vertical="center"/>
    </xf>
    <xf numFmtId="0" fontId="2" fillId="13" borderId="3" xfId="2" applyFill="1" applyBorder="1" applyAlignment="1">
      <alignment horizontal="center" vertical="center"/>
    </xf>
    <xf numFmtId="0" fontId="2" fillId="13" borderId="4" xfId="2" applyFill="1" applyBorder="1" applyAlignment="1">
      <alignment horizontal="center" vertical="center"/>
    </xf>
    <xf numFmtId="0" fontId="9" fillId="3" borderId="12" xfId="7" applyFill="1" applyBorder="1">
      <alignment vertical="center"/>
    </xf>
    <xf numFmtId="0" fontId="9" fillId="3" borderId="12" xfId="7" applyFill="1" applyBorder="1" applyAlignment="1">
      <alignment horizontal="center" vertical="center"/>
    </xf>
    <xf numFmtId="178" fontId="9" fillId="3" borderId="12" xfId="7" applyNumberFormat="1" applyFill="1" applyBorder="1" applyAlignment="1">
      <alignment horizontal="center" vertical="center"/>
    </xf>
    <xf numFmtId="179" fontId="9" fillId="3" borderId="12" xfId="7" applyNumberFormat="1" applyFill="1" applyBorder="1" applyAlignment="1">
      <alignment horizontal="center" vertical="center"/>
    </xf>
    <xf numFmtId="183" fontId="9" fillId="3" borderId="12" xfId="7" applyNumberFormat="1" applyFill="1" applyBorder="1" applyAlignment="1">
      <alignment horizontal="center" vertical="center"/>
    </xf>
    <xf numFmtId="0" fontId="9" fillId="0" borderId="0" xfId="7">
      <alignment vertical="center"/>
    </xf>
    <xf numFmtId="177" fontId="9" fillId="3" borderId="12" xfId="7" applyNumberFormat="1" applyFill="1" applyBorder="1" applyAlignment="1">
      <alignment horizontal="center" vertical="center"/>
    </xf>
    <xf numFmtId="0" fontId="2" fillId="3" borderId="12" xfId="7" applyFont="1" applyFill="1" applyBorder="1">
      <alignment vertical="center"/>
    </xf>
    <xf numFmtId="0" fontId="2" fillId="3" borderId="12" xfId="7" applyFont="1" applyFill="1" applyBorder="1" applyAlignment="1">
      <alignment horizontal="center" vertical="center"/>
    </xf>
    <xf numFmtId="0" fontId="9" fillId="0" borderId="12" xfId="7" applyBorder="1">
      <alignment vertical="center"/>
    </xf>
    <xf numFmtId="0" fontId="9" fillId="0" borderId="12" xfId="7" applyBorder="1" applyAlignment="1">
      <alignment horizontal="center" vertical="center"/>
    </xf>
    <xf numFmtId="177" fontId="9" fillId="0" borderId="12" xfId="7" applyNumberFormat="1" applyBorder="1" applyAlignment="1">
      <alignment horizontal="center" vertical="center"/>
    </xf>
    <xf numFmtId="177" fontId="2" fillId="0" borderId="12" xfId="7" applyNumberFormat="1" applyFont="1" applyBorder="1" applyAlignment="1">
      <alignment horizontal="center" vertical="center"/>
    </xf>
    <xf numFmtId="183" fontId="9" fillId="0" borderId="12" xfId="7" applyNumberFormat="1" applyBorder="1" applyAlignment="1">
      <alignment horizontal="center" vertical="center"/>
    </xf>
    <xf numFmtId="184" fontId="9" fillId="0" borderId="0" xfId="7" applyNumberFormat="1">
      <alignment vertical="center"/>
    </xf>
    <xf numFmtId="0" fontId="2" fillId="0" borderId="12" xfId="7" applyFont="1" applyBorder="1" applyAlignment="1">
      <alignment horizontal="center" vertical="center"/>
    </xf>
    <xf numFmtId="0" fontId="9" fillId="0" borderId="0" xfId="7" applyAlignment="1">
      <alignment horizontal="center" vertical="center"/>
    </xf>
    <xf numFmtId="183" fontId="9" fillId="0" borderId="0" xfId="7" applyNumberFormat="1">
      <alignment vertical="center"/>
    </xf>
    <xf numFmtId="178" fontId="9" fillId="0" borderId="0" xfId="7" applyNumberFormat="1">
      <alignment vertical="center"/>
    </xf>
    <xf numFmtId="179" fontId="9" fillId="0" borderId="0" xfId="7" applyNumberFormat="1">
      <alignment vertical="center"/>
    </xf>
    <xf numFmtId="177" fontId="9" fillId="0" borderId="0" xfId="7" applyNumberFormat="1">
      <alignment vertical="center"/>
    </xf>
    <xf numFmtId="178" fontId="9" fillId="0" borderId="0" xfId="7" applyNumberFormat="1" applyAlignment="1">
      <alignment horizontal="center" vertical="center"/>
    </xf>
    <xf numFmtId="179" fontId="9" fillId="0" borderId="0" xfId="7" applyNumberFormat="1" applyAlignment="1">
      <alignment horizontal="center" vertical="center"/>
    </xf>
    <xf numFmtId="0" fontId="11" fillId="0" borderId="0" xfId="0" applyFont="1" applyFill="1"/>
    <xf numFmtId="0" fontId="10" fillId="2" borderId="0" xfId="1" applyFont="1" applyBorder="1" applyAlignment="1"/>
    <xf numFmtId="0" fontId="11" fillId="7" borderId="0" xfId="1" applyFont="1" applyFill="1" applyBorder="1" applyAlignment="1"/>
    <xf numFmtId="0" fontId="11" fillId="0" borderId="0" xfId="0" applyFont="1"/>
    <xf numFmtId="0" fontId="11" fillId="0" borderId="0" xfId="0" applyFont="1" applyBorder="1"/>
    <xf numFmtId="0" fontId="11" fillId="14" borderId="0" xfId="0" applyFont="1" applyFill="1"/>
    <xf numFmtId="0" fontId="11" fillId="14" borderId="0" xfId="1" applyFont="1" applyFill="1" applyAlignment="1"/>
    <xf numFmtId="0" fontId="12" fillId="0" borderId="0" xfId="0" applyFont="1" applyFill="1"/>
    <xf numFmtId="0" fontId="12" fillId="14" borderId="0" xfId="0" applyFont="1" applyFill="1"/>
    <xf numFmtId="0" fontId="12" fillId="14" borderId="0" xfId="1" applyFont="1" applyFill="1" applyAlignment="1"/>
    <xf numFmtId="0" fontId="0" fillId="0" borderId="1" xfId="0" applyBorder="1" applyAlignment="1">
      <alignment horizontal="center" vertical="center"/>
    </xf>
    <xf numFmtId="0" fontId="2" fillId="0" borderId="12" xfId="2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2" fillId="0" borderId="4" xfId="2" applyBorder="1" applyAlignment="1">
      <alignment horizontal="center" vertical="center"/>
    </xf>
  </cellXfs>
  <cellStyles count="8">
    <cellStyle name="差" xfId="6" builtinId="27"/>
    <cellStyle name="常规" xfId="0" builtinId="0"/>
    <cellStyle name="常规 2" xfId="2" xr:uid="{F3AA9949-C718-44E8-B00D-3425BC249D84}"/>
    <cellStyle name="常规 3" xfId="7" xr:uid="{1A473931-B5DD-4FAD-8DC2-CAD9AA7F177C}"/>
    <cellStyle name="计算" xfId="5" builtinId="22"/>
    <cellStyle name="解释性文本" xfId="4" builtinId="53"/>
    <cellStyle name="适中" xfId="1" builtinId="28"/>
    <cellStyle name="输入" xfId="3" builtin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8.emf"/><Relationship Id="rId7" Type="http://schemas.openxmlformats.org/officeDocument/2006/relationships/image" Target="../media/image5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1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38100</xdr:colOff>
          <xdr:row>2</xdr:row>
          <xdr:rowOff>19050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9525</xdr:rowOff>
        </xdr:from>
        <xdr:to>
          <xdr:col>2</xdr:col>
          <xdr:colOff>38100</xdr:colOff>
          <xdr:row>3</xdr:row>
          <xdr:rowOff>28575</xdr:rowOff>
        </xdr:to>
        <xdr:sp macro="" textlink="">
          <xdr:nvSpPr>
            <xdr:cNvPr id="1035" name="ComboBox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38100</xdr:colOff>
          <xdr:row>4</xdr:row>
          <xdr:rowOff>28575</xdr:rowOff>
        </xdr:to>
        <xdr:sp macro="" textlink="">
          <xdr:nvSpPr>
            <xdr:cNvPr id="1036" name="ComboBox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19050</xdr:rowOff>
        </xdr:from>
        <xdr:to>
          <xdr:col>2</xdr:col>
          <xdr:colOff>38100</xdr:colOff>
          <xdr:row>5</xdr:row>
          <xdr:rowOff>38100</xdr:rowOff>
        </xdr:to>
        <xdr:sp macro="" textlink="">
          <xdr:nvSpPr>
            <xdr:cNvPr id="1037" name="ComboBox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38100</xdr:colOff>
          <xdr:row>2</xdr:row>
          <xdr:rowOff>19050</xdr:rowOff>
        </xdr:to>
        <xdr:sp macro="" textlink="">
          <xdr:nvSpPr>
            <xdr:cNvPr id="1040" name="ComboBox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38100</xdr:colOff>
          <xdr:row>3</xdr:row>
          <xdr:rowOff>28575</xdr:rowOff>
        </xdr:to>
        <xdr:sp macro="" textlink="">
          <xdr:nvSpPr>
            <xdr:cNvPr id="1041" name="ComboBox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9525</xdr:rowOff>
        </xdr:from>
        <xdr:to>
          <xdr:col>9</xdr:col>
          <xdr:colOff>38100</xdr:colOff>
          <xdr:row>4</xdr:row>
          <xdr:rowOff>28575</xdr:rowOff>
        </xdr:to>
        <xdr:sp macro="" textlink="">
          <xdr:nvSpPr>
            <xdr:cNvPr id="1042" name="ComboBox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38100</xdr:colOff>
          <xdr:row>5</xdr:row>
          <xdr:rowOff>38100</xdr:rowOff>
        </xdr:to>
        <xdr:sp macro="" textlink="">
          <xdr:nvSpPr>
            <xdr:cNvPr id="1043" name="ComboBox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14</xdr:row>
          <xdr:rowOff>28575</xdr:rowOff>
        </xdr:from>
        <xdr:to>
          <xdr:col>13</xdr:col>
          <xdr:colOff>666750</xdr:colOff>
          <xdr:row>16</xdr:row>
          <xdr:rowOff>114300</xdr:rowOff>
        </xdr:to>
        <xdr:sp macro="" textlink="">
          <xdr:nvSpPr>
            <xdr:cNvPr id="1044" name="CommandButton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30</xdr:row>
          <xdr:rowOff>104775</xdr:rowOff>
        </xdr:from>
        <xdr:to>
          <xdr:col>26</xdr:col>
          <xdr:colOff>400050</xdr:colOff>
          <xdr:row>51</xdr:row>
          <xdr:rowOff>57150</xdr:rowOff>
        </xdr:to>
        <xdr:sp macro="" textlink="">
          <xdr:nvSpPr>
            <xdr:cNvPr id="1045" name="TextBox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</xdr:row>
          <xdr:rowOff>180975</xdr:rowOff>
        </xdr:from>
        <xdr:to>
          <xdr:col>15</xdr:col>
          <xdr:colOff>28575</xdr:colOff>
          <xdr:row>4</xdr:row>
          <xdr:rowOff>47625</xdr:rowOff>
        </xdr:to>
        <xdr:sp macro="" textlink="">
          <xdr:nvSpPr>
            <xdr:cNvPr id="1053" name="ComboBox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5</xdr:row>
          <xdr:rowOff>9525</xdr:rowOff>
        </xdr:from>
        <xdr:to>
          <xdr:col>15</xdr:col>
          <xdr:colOff>28575</xdr:colOff>
          <xdr:row>6</xdr:row>
          <xdr:rowOff>57150</xdr:rowOff>
        </xdr:to>
        <xdr:sp macro="" textlink="">
          <xdr:nvSpPr>
            <xdr:cNvPr id="1054" name="ComboBox1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4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</xdr:row>
          <xdr:rowOff>171450</xdr:rowOff>
        </xdr:from>
        <xdr:to>
          <xdr:col>15</xdr:col>
          <xdr:colOff>19050</xdr:colOff>
          <xdr:row>8</xdr:row>
          <xdr:rowOff>38100</xdr:rowOff>
        </xdr:to>
        <xdr:sp macro="" textlink="">
          <xdr:nvSpPr>
            <xdr:cNvPr id="1055" name="ComboBox1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8</xdr:row>
          <xdr:rowOff>171450</xdr:rowOff>
        </xdr:from>
        <xdr:to>
          <xdr:col>15</xdr:col>
          <xdr:colOff>28575</xdr:colOff>
          <xdr:row>10</xdr:row>
          <xdr:rowOff>38100</xdr:rowOff>
        </xdr:to>
        <xdr:sp macro="" textlink="">
          <xdr:nvSpPr>
            <xdr:cNvPr id="1056" name="ComboBox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4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9525</xdr:rowOff>
        </xdr:from>
        <xdr:to>
          <xdr:col>15</xdr:col>
          <xdr:colOff>9525</xdr:colOff>
          <xdr:row>12</xdr:row>
          <xdr:rowOff>57150</xdr:rowOff>
        </xdr:to>
        <xdr:sp macro="" textlink="">
          <xdr:nvSpPr>
            <xdr:cNvPr id="1057" name="ComboBox1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4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13</xdr:row>
          <xdr:rowOff>0</xdr:rowOff>
        </xdr:from>
        <xdr:to>
          <xdr:col>15</xdr:col>
          <xdr:colOff>19050</xdr:colOff>
          <xdr:row>14</xdr:row>
          <xdr:rowOff>47625</xdr:rowOff>
        </xdr:to>
        <xdr:sp macro="" textlink="">
          <xdr:nvSpPr>
            <xdr:cNvPr id="1058" name="ComboBox1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4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16</xdr:col>
          <xdr:colOff>838200</xdr:colOff>
          <xdr:row>4</xdr:row>
          <xdr:rowOff>47625</xdr:rowOff>
        </xdr:to>
        <xdr:sp macro="" textlink="">
          <xdr:nvSpPr>
            <xdr:cNvPr id="1059" name="ComboBox1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4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5</xdr:row>
          <xdr:rowOff>9525</xdr:rowOff>
        </xdr:from>
        <xdr:to>
          <xdr:col>16</xdr:col>
          <xdr:colOff>838200</xdr:colOff>
          <xdr:row>6</xdr:row>
          <xdr:rowOff>57150</xdr:rowOff>
        </xdr:to>
        <xdr:sp macro="" textlink="">
          <xdr:nvSpPr>
            <xdr:cNvPr id="1060" name="ComboBox1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4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7</xdr:row>
          <xdr:rowOff>0</xdr:rowOff>
        </xdr:from>
        <xdr:to>
          <xdr:col>16</xdr:col>
          <xdr:colOff>847725</xdr:colOff>
          <xdr:row>8</xdr:row>
          <xdr:rowOff>47625</xdr:rowOff>
        </xdr:to>
        <xdr:sp macro="" textlink="">
          <xdr:nvSpPr>
            <xdr:cNvPr id="1061" name="ComboBox1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4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9</xdr:row>
          <xdr:rowOff>9525</xdr:rowOff>
        </xdr:from>
        <xdr:to>
          <xdr:col>16</xdr:col>
          <xdr:colOff>838200</xdr:colOff>
          <xdr:row>10</xdr:row>
          <xdr:rowOff>57150</xdr:rowOff>
        </xdr:to>
        <xdr:sp macro="" textlink="">
          <xdr:nvSpPr>
            <xdr:cNvPr id="1062" name="ComboBox1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4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11</xdr:row>
          <xdr:rowOff>19050</xdr:rowOff>
        </xdr:from>
        <xdr:to>
          <xdr:col>16</xdr:col>
          <xdr:colOff>847725</xdr:colOff>
          <xdr:row>12</xdr:row>
          <xdr:rowOff>66675</xdr:rowOff>
        </xdr:to>
        <xdr:sp macro="" textlink="">
          <xdr:nvSpPr>
            <xdr:cNvPr id="1063" name="ComboBox1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4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12</xdr:row>
          <xdr:rowOff>171450</xdr:rowOff>
        </xdr:from>
        <xdr:to>
          <xdr:col>16</xdr:col>
          <xdr:colOff>847725</xdr:colOff>
          <xdr:row>14</xdr:row>
          <xdr:rowOff>38100</xdr:rowOff>
        </xdr:to>
        <xdr:sp macro="" textlink="">
          <xdr:nvSpPr>
            <xdr:cNvPr id="1064" name="ComboBox2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4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10</xdr:row>
          <xdr:rowOff>19050</xdr:rowOff>
        </xdr:from>
        <xdr:to>
          <xdr:col>13</xdr:col>
          <xdr:colOff>657225</xdr:colOff>
          <xdr:row>12</xdr:row>
          <xdr:rowOff>104775</xdr:rowOff>
        </xdr:to>
        <xdr:sp macro="" textlink="">
          <xdr:nvSpPr>
            <xdr:cNvPr id="1065" name="CommandButton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4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</xdr:row>
          <xdr:rowOff>9525</xdr:rowOff>
        </xdr:from>
        <xdr:to>
          <xdr:col>13</xdr:col>
          <xdr:colOff>657225</xdr:colOff>
          <xdr:row>8</xdr:row>
          <xdr:rowOff>95250</xdr:rowOff>
        </xdr:to>
        <xdr:sp macro="" textlink="">
          <xdr:nvSpPr>
            <xdr:cNvPr id="1068" name="ToggleButton1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4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244929</xdr:colOff>
      <xdr:row>4</xdr:row>
      <xdr:rowOff>149678</xdr:rowOff>
    </xdr:from>
    <xdr:ext cx="184731" cy="264560"/>
    <xdr:sp macro="" textlink="">
      <xdr:nvSpPr>
        <xdr:cNvPr id="42" name="文本框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15212786" y="1741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23</xdr:col>
      <xdr:colOff>367393</xdr:colOff>
      <xdr:row>4</xdr:row>
      <xdr:rowOff>122464</xdr:rowOff>
    </xdr:from>
    <xdr:ext cx="184731" cy="264560"/>
    <xdr:sp macro="" textlink="">
      <xdr:nvSpPr>
        <xdr:cNvPr id="43" name="文本框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18056679" y="17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28</xdr:col>
      <xdr:colOff>136073</xdr:colOff>
      <xdr:row>4</xdr:row>
      <xdr:rowOff>136071</xdr:rowOff>
    </xdr:from>
    <xdr:ext cx="184731" cy="264560"/>
    <xdr:sp macro="" textlink="">
      <xdr:nvSpPr>
        <xdr:cNvPr id="44" name="文本框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21227144" y="172810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26</xdr:col>
      <xdr:colOff>517073</xdr:colOff>
      <xdr:row>4</xdr:row>
      <xdr:rowOff>108856</xdr:rowOff>
    </xdr:from>
    <xdr:ext cx="184731" cy="264560"/>
    <xdr:sp macro="" textlink="">
      <xdr:nvSpPr>
        <xdr:cNvPr id="68" name="文本框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20247430" y="17008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48</xdr:col>
      <xdr:colOff>35872</xdr:colOff>
      <xdr:row>1</xdr:row>
      <xdr:rowOff>81644</xdr:rowOff>
    </xdr:from>
    <xdr:ext cx="184731" cy="264560"/>
    <xdr:sp macro="" textlink="">
      <xdr:nvSpPr>
        <xdr:cNvPr id="138" name="文本框 137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 txBox="1"/>
      </xdr:nvSpPr>
      <xdr:spPr>
        <a:xfrm>
          <a:off x="35364963" y="112073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twoCellAnchor>
    <xdr:from>
      <xdr:col>8</xdr:col>
      <xdr:colOff>536864</xdr:colOff>
      <xdr:row>52</xdr:row>
      <xdr:rowOff>17318</xdr:rowOff>
    </xdr:from>
    <xdr:to>
      <xdr:col>8</xdr:col>
      <xdr:colOff>554182</xdr:colOff>
      <xdr:row>52</xdr:row>
      <xdr:rowOff>69272</xdr:rowOff>
    </xdr:to>
    <xdr:cxnSp macro="">
      <xdr:nvCxnSpPr>
        <xdr:cNvPr id="113" name="连接符: 肘形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CxnSpPr/>
      </xdr:nvCxnSpPr>
      <xdr:spPr>
        <a:xfrm rot="16200000" flipH="1">
          <a:off x="8139546" y="9906000"/>
          <a:ext cx="51954" cy="17318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1995;&#3247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掌门"/>
      <sheetName val="资源 "/>
      <sheetName val="长老进阶"/>
      <sheetName val="兵种命名"/>
      <sheetName val="兵种基础属性"/>
      <sheetName val="士兵妖兽招募资源和时间"/>
      <sheetName val="兵种改造"/>
      <sheetName val="守山圣兽属性"/>
      <sheetName val="建筑清单"/>
      <sheetName val="建筑（大殿和资源"/>
      <sheetName val="建筑（招募人类"/>
      <sheetName val="建筑（招募妖兽)"/>
      <sheetName val="建筑(其它）"/>
      <sheetName val="士兵妖兽治疗资源和时间"/>
      <sheetName val="士兵妖兽升级资源和时间"/>
    </sheetNames>
    <sheetDataSet>
      <sheetData sheetId="0" refreshError="1"/>
      <sheetData sheetId="1">
        <row r="9">
          <cell r="E9">
            <v>6.6666666666666671E-3</v>
          </cell>
          <cell r="H9">
            <v>0.2</v>
          </cell>
          <cell r="K9">
            <v>8.3333333333333329E-2</v>
          </cell>
          <cell r="N9">
            <v>1</v>
          </cell>
          <cell r="Q9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6.xml"/><Relationship Id="rId39" Type="http://schemas.openxmlformats.org/officeDocument/2006/relationships/image" Target="../media/image12.emf"/><Relationship Id="rId21" Type="http://schemas.openxmlformats.org/officeDocument/2006/relationships/image" Target="../media/image5.emf"/><Relationship Id="rId34" Type="http://schemas.openxmlformats.org/officeDocument/2006/relationships/control" Target="../activeX/activeX22.xml"/><Relationship Id="rId7" Type="http://schemas.openxmlformats.org/officeDocument/2006/relationships/image" Target="../media/image2.emf"/><Relationship Id="rId12" Type="http://schemas.openxmlformats.org/officeDocument/2006/relationships/image" Target="../media/image3.emf"/><Relationship Id="rId17" Type="http://schemas.openxmlformats.org/officeDocument/2006/relationships/control" Target="../activeX/activeX10.xml"/><Relationship Id="rId25" Type="http://schemas.openxmlformats.org/officeDocument/2006/relationships/image" Target="../media/image7.emf"/><Relationship Id="rId33" Type="http://schemas.openxmlformats.org/officeDocument/2006/relationships/control" Target="../activeX/activeX21.xml"/><Relationship Id="rId38" Type="http://schemas.openxmlformats.org/officeDocument/2006/relationships/control" Target="../activeX/activeX2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3.xml"/><Relationship Id="rId29" Type="http://schemas.openxmlformats.org/officeDocument/2006/relationships/image" Target="../media/image8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5.xml"/><Relationship Id="rId32" Type="http://schemas.openxmlformats.org/officeDocument/2006/relationships/control" Target="../activeX/activeX20.xml"/><Relationship Id="rId37" Type="http://schemas.openxmlformats.org/officeDocument/2006/relationships/image" Target="../media/image11.emf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23" Type="http://schemas.openxmlformats.org/officeDocument/2006/relationships/image" Target="../media/image6.emf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3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2.xml"/><Relationship Id="rId31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4.xml"/><Relationship Id="rId27" Type="http://schemas.openxmlformats.org/officeDocument/2006/relationships/control" Target="../activeX/activeX17.xml"/><Relationship Id="rId30" Type="http://schemas.openxmlformats.org/officeDocument/2006/relationships/control" Target="../activeX/activeX19.xml"/><Relationship Id="rId35" Type="http://schemas.openxmlformats.org/officeDocument/2006/relationships/image" Target="../media/image1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38046-B0FD-4EB3-80F4-9ED1300C0DCB}">
  <sheetPr codeName="Sheet10"/>
  <dimension ref="B4:U60"/>
  <sheetViews>
    <sheetView showGridLines="0" zoomScale="85" zoomScaleNormal="85" workbookViewId="0">
      <selection activeCell="M57" sqref="M57"/>
    </sheetView>
  </sheetViews>
  <sheetFormatPr defaultColWidth="9" defaultRowHeight="14.25" x14ac:dyDescent="0.2"/>
  <cols>
    <col min="1" max="2" width="9" style="53"/>
    <col min="3" max="3" width="9" style="64"/>
    <col min="4" max="4" width="12.875" style="64" customWidth="1"/>
    <col min="5" max="6" width="11.875" style="53" customWidth="1"/>
    <col min="7" max="7" width="11.625" style="69" customWidth="1"/>
    <col min="8" max="8" width="15.125" style="53" customWidth="1"/>
    <col min="9" max="9" width="14" style="70" customWidth="1"/>
    <col min="10" max="10" width="12.625" style="65" customWidth="1"/>
    <col min="11" max="11" width="9" style="53"/>
    <col min="12" max="13" width="8.75" style="64" customWidth="1"/>
    <col min="14" max="14" width="12.875" style="64" customWidth="1"/>
    <col min="15" max="16" width="16.25" style="64" customWidth="1"/>
    <col min="17" max="17" width="13.875" style="66" customWidth="1"/>
    <col min="18" max="18" width="15.125" style="53" customWidth="1"/>
    <col min="19" max="19" width="12.625" style="67" customWidth="1"/>
    <col min="20" max="20" width="10.5" style="68" customWidth="1"/>
    <col min="21" max="16384" width="9" style="53"/>
  </cols>
  <sheetData>
    <row r="4" spans="2:21" x14ac:dyDescent="0.2">
      <c r="B4" s="48"/>
      <c r="C4" s="49"/>
      <c r="D4" s="49"/>
      <c r="E4" s="49" t="s">
        <v>63</v>
      </c>
      <c r="F4" s="49" t="s">
        <v>64</v>
      </c>
      <c r="G4" s="50" t="s">
        <v>65</v>
      </c>
      <c r="H4" s="49" t="s">
        <v>66</v>
      </c>
      <c r="I4" s="51" t="s">
        <v>67</v>
      </c>
      <c r="J4" s="52" t="s">
        <v>68</v>
      </c>
      <c r="L4" s="53"/>
      <c r="M4" s="49"/>
      <c r="N4" s="49"/>
      <c r="O4" s="49" t="s">
        <v>63</v>
      </c>
      <c r="P4" s="49" t="s">
        <v>64</v>
      </c>
      <c r="Q4" s="50" t="s">
        <v>65</v>
      </c>
      <c r="R4" s="49" t="s">
        <v>66</v>
      </c>
      <c r="S4" s="51" t="s">
        <v>67</v>
      </c>
      <c r="T4" s="54" t="s">
        <v>68</v>
      </c>
    </row>
    <row r="5" spans="2:21" x14ac:dyDescent="0.2">
      <c r="B5" s="55"/>
      <c r="C5" s="49"/>
      <c r="D5" s="49"/>
      <c r="E5" s="49">
        <v>8</v>
      </c>
      <c r="F5" s="49">
        <v>4</v>
      </c>
      <c r="G5" s="50">
        <v>0</v>
      </c>
      <c r="H5" s="49"/>
      <c r="I5" s="51"/>
      <c r="J5" s="52"/>
      <c r="L5" s="55"/>
      <c r="M5" s="49"/>
      <c r="N5" s="49"/>
      <c r="O5" s="56">
        <v>4</v>
      </c>
      <c r="P5" s="49">
        <v>4.5</v>
      </c>
      <c r="Q5" s="50">
        <v>1.5</v>
      </c>
      <c r="R5" s="49"/>
      <c r="S5" s="51"/>
      <c r="T5" s="54"/>
    </row>
    <row r="6" spans="2:21" x14ac:dyDescent="0.2">
      <c r="B6" s="55" t="s">
        <v>0</v>
      </c>
      <c r="C6" s="49" t="s">
        <v>69</v>
      </c>
      <c r="D6" s="56" t="s">
        <v>30</v>
      </c>
      <c r="E6" s="56">
        <v>1.1000000000000001</v>
      </c>
      <c r="F6" s="49">
        <v>1.1000000000000001</v>
      </c>
      <c r="G6" s="50">
        <v>1</v>
      </c>
      <c r="H6" s="49"/>
      <c r="I6" s="51"/>
      <c r="J6" s="52"/>
      <c r="K6" s="53">
        <v>50</v>
      </c>
      <c r="L6" s="55" t="s">
        <v>0</v>
      </c>
      <c r="M6" s="49" t="s">
        <v>69</v>
      </c>
      <c r="N6" s="56" t="s">
        <v>30</v>
      </c>
      <c r="O6" s="49">
        <v>1.1000000000000001</v>
      </c>
      <c r="P6" s="56">
        <v>1.1000000000000001</v>
      </c>
      <c r="Q6" s="50">
        <v>1.1000000000000001</v>
      </c>
      <c r="R6" s="49"/>
      <c r="S6" s="51"/>
      <c r="T6" s="52"/>
      <c r="U6" s="53">
        <v>50</v>
      </c>
    </row>
    <row r="7" spans="2:21" x14ac:dyDescent="0.2">
      <c r="B7" s="57">
        <v>1</v>
      </c>
      <c r="C7" s="63" t="s">
        <v>84</v>
      </c>
      <c r="D7" s="58">
        <v>1</v>
      </c>
      <c r="E7" s="59">
        <v>10</v>
      </c>
      <c r="F7" s="60">
        <v>6</v>
      </c>
      <c r="G7" s="59">
        <v>5</v>
      </c>
      <c r="H7" s="59">
        <v>24</v>
      </c>
      <c r="I7" s="59">
        <v>13</v>
      </c>
      <c r="J7" s="61">
        <f>(E7*F7/(1-G7/(G7+$K$6)))^0.5</f>
        <v>8.1240384046359608</v>
      </c>
      <c r="K7" s="62">
        <f>G7/(G7+K$6)</f>
        <v>9.0909090909090912E-2</v>
      </c>
      <c r="L7" s="57">
        <v>1</v>
      </c>
      <c r="M7" s="63" t="s">
        <v>139</v>
      </c>
      <c r="N7" s="58">
        <v>6</v>
      </c>
      <c r="O7" s="59">
        <v>6</v>
      </c>
      <c r="P7" s="59">
        <v>7</v>
      </c>
      <c r="Q7" s="59">
        <v>9</v>
      </c>
      <c r="R7" s="59">
        <v>0</v>
      </c>
      <c r="S7" s="59">
        <v>18</v>
      </c>
      <c r="T7" s="61">
        <f>(O7*P7/(1-Q7/(Q7+$K$6)))^0.5</f>
        <v>7.0398863627192165</v>
      </c>
      <c r="U7" s="62">
        <f>Q7/(Q7+U$6)</f>
        <v>0.15254237288135594</v>
      </c>
    </row>
    <row r="8" spans="2:21" x14ac:dyDescent="0.2">
      <c r="B8" s="57">
        <v>2</v>
      </c>
      <c r="C8" s="63" t="s">
        <v>85</v>
      </c>
      <c r="D8" s="58">
        <v>1</v>
      </c>
      <c r="E8" s="59">
        <f>E$5*B7^E$6+E$7</f>
        <v>18</v>
      </c>
      <c r="F8" s="59">
        <f>F$5*B7^F$6+F$7</f>
        <v>10</v>
      </c>
      <c r="G8" s="59">
        <f>G$5*B7^G$6+G$7</f>
        <v>5</v>
      </c>
      <c r="H8" s="59">
        <v>26</v>
      </c>
      <c r="I8" s="59">
        <f>I$5*B7^I$6+I$7</f>
        <v>13</v>
      </c>
      <c r="J8" s="61">
        <f t="shared" ref="J8:J17" si="0">(E8*F8/(1-G8/(G8+$K$6)))^0.5</f>
        <v>14.071247279470288</v>
      </c>
      <c r="K8" s="62">
        <f t="shared" ref="K8:K45" si="1">G8/(G8+K$6)</f>
        <v>9.0909090909090912E-2</v>
      </c>
      <c r="L8" s="57">
        <v>2</v>
      </c>
      <c r="M8" s="63" t="s">
        <v>140</v>
      </c>
      <c r="N8" s="58">
        <v>6</v>
      </c>
      <c r="O8" s="59">
        <f>O$5*L7^O$6+O$7</f>
        <v>10</v>
      </c>
      <c r="P8" s="59">
        <f>P$5*L7^P$6+P$7</f>
        <v>11.5</v>
      </c>
      <c r="Q8" s="59">
        <f>Q$5*L7^Q$6+Q$7</f>
        <v>10.5</v>
      </c>
      <c r="R8" s="59">
        <f>R$5*L7^R$6+R$7</f>
        <v>0</v>
      </c>
      <c r="S8" s="59">
        <v>18</v>
      </c>
      <c r="T8" s="61">
        <f t="shared" ref="T8:T17" si="2">(O8*P8/(1-Q8/(Q8+$K$6)))^0.5</f>
        <v>11.79618582423997</v>
      </c>
      <c r="U8" s="62">
        <f t="shared" ref="U8:U45" si="3">Q8/(Q8+U$6)</f>
        <v>0.17355371900826447</v>
      </c>
    </row>
    <row r="9" spans="2:21" x14ac:dyDescent="0.2">
      <c r="B9" s="57">
        <v>3</v>
      </c>
      <c r="C9" s="63" t="s">
        <v>86</v>
      </c>
      <c r="D9" s="58">
        <v>1</v>
      </c>
      <c r="E9" s="59">
        <f t="shared" ref="E9:E17" si="4">E$5*B8^E$6+E$7</f>
        <v>27.14837540058069</v>
      </c>
      <c r="F9" s="59">
        <f t="shared" ref="F9:F17" si="5">F$5*B8^F$6+F$7</f>
        <v>14.574187700290345</v>
      </c>
      <c r="G9" s="59">
        <f t="shared" ref="G9:G17" si="6">G$5*B8^G$6+G$7</f>
        <v>5</v>
      </c>
      <c r="H9" s="59">
        <v>28</v>
      </c>
      <c r="I9" s="59">
        <f t="shared" ref="I9:I17" si="7">I$5*B8^I$6+I$7</f>
        <v>13</v>
      </c>
      <c r="J9" s="61">
        <f t="shared" si="0"/>
        <v>20.862216342723727</v>
      </c>
      <c r="K9" s="62">
        <f t="shared" si="1"/>
        <v>9.0909090909090912E-2</v>
      </c>
      <c r="L9" s="57">
        <v>3</v>
      </c>
      <c r="M9" s="63" t="s">
        <v>141</v>
      </c>
      <c r="N9" s="58">
        <v>6</v>
      </c>
      <c r="O9" s="59">
        <f t="shared" ref="O9:O17" si="8">O$5*L8^O$6+O$7</f>
        <v>14.574187700290345</v>
      </c>
      <c r="P9" s="59">
        <f t="shared" ref="P9:P17" si="9">P$5*L8^P$6+P$7</f>
        <v>16.645961162826637</v>
      </c>
      <c r="Q9" s="59">
        <f t="shared" ref="Q9:Q17" si="10">Q$5*L8^Q$6+Q$7</f>
        <v>12.21532038760888</v>
      </c>
      <c r="R9" s="59">
        <f t="shared" ref="R9:R17" si="11">R$5*L8^R$6+R$7</f>
        <v>0</v>
      </c>
      <c r="S9" s="59">
        <v>18</v>
      </c>
      <c r="T9" s="61">
        <f t="shared" si="2"/>
        <v>17.374418833790696</v>
      </c>
      <c r="U9" s="62">
        <f t="shared" si="3"/>
        <v>0.1963394275156983</v>
      </c>
    </row>
    <row r="10" spans="2:21" x14ac:dyDescent="0.2">
      <c r="B10" s="57">
        <v>4</v>
      </c>
      <c r="C10" s="63" t="s">
        <v>87</v>
      </c>
      <c r="D10" s="58">
        <v>1</v>
      </c>
      <c r="E10" s="59">
        <f t="shared" si="4"/>
        <v>36.78695617681371</v>
      </c>
      <c r="F10" s="59">
        <f t="shared" si="5"/>
        <v>19.393478088406855</v>
      </c>
      <c r="G10" s="59">
        <f t="shared" si="6"/>
        <v>5</v>
      </c>
      <c r="H10" s="59">
        <v>30</v>
      </c>
      <c r="I10" s="59">
        <f t="shared" si="7"/>
        <v>13</v>
      </c>
      <c r="J10" s="61">
        <f t="shared" si="0"/>
        <v>28.013741831637592</v>
      </c>
      <c r="K10" s="62">
        <f t="shared" si="1"/>
        <v>9.0909090909090912E-2</v>
      </c>
      <c r="L10" s="57">
        <v>4</v>
      </c>
      <c r="M10" s="63" t="s">
        <v>142</v>
      </c>
      <c r="N10" s="58">
        <v>6</v>
      </c>
      <c r="O10" s="59">
        <f t="shared" si="8"/>
        <v>19.393478088406855</v>
      </c>
      <c r="P10" s="59">
        <f t="shared" si="9"/>
        <v>22.067662849457712</v>
      </c>
      <c r="Q10" s="59">
        <f t="shared" si="10"/>
        <v>14.022554283152571</v>
      </c>
      <c r="R10" s="59">
        <f t="shared" si="11"/>
        <v>0</v>
      </c>
      <c r="S10" s="59">
        <v>18</v>
      </c>
      <c r="T10" s="61">
        <f t="shared" si="2"/>
        <v>23.409251003730301</v>
      </c>
      <c r="U10" s="62">
        <f t="shared" si="3"/>
        <v>0.21902522384744313</v>
      </c>
    </row>
    <row r="11" spans="2:21" x14ac:dyDescent="0.2">
      <c r="B11" s="57">
        <v>5</v>
      </c>
      <c r="C11" s="63" t="s">
        <v>88</v>
      </c>
      <c r="D11" s="58">
        <v>1</v>
      </c>
      <c r="E11" s="59">
        <f t="shared" si="4"/>
        <v>46.758347359905116</v>
      </c>
      <c r="F11" s="59">
        <f t="shared" si="5"/>
        <v>24.379173679952558</v>
      </c>
      <c r="G11" s="59">
        <f t="shared" si="6"/>
        <v>5</v>
      </c>
      <c r="H11" s="59">
        <v>32</v>
      </c>
      <c r="I11" s="59">
        <f t="shared" si="7"/>
        <v>13</v>
      </c>
      <c r="J11" s="61">
        <f t="shared" si="0"/>
        <v>35.410773196897942</v>
      </c>
      <c r="K11" s="62">
        <f t="shared" si="1"/>
        <v>9.0909090909090912E-2</v>
      </c>
      <c r="L11" s="57">
        <v>5</v>
      </c>
      <c r="M11" s="63" t="s">
        <v>143</v>
      </c>
      <c r="N11" s="58">
        <v>6</v>
      </c>
      <c r="O11" s="59">
        <f t="shared" si="8"/>
        <v>24.379173679952558</v>
      </c>
      <c r="P11" s="59">
        <f t="shared" si="9"/>
        <v>27.676570389946626</v>
      </c>
      <c r="Q11" s="59">
        <f t="shared" si="10"/>
        <v>15.892190129982209</v>
      </c>
      <c r="R11" s="59">
        <f t="shared" si="11"/>
        <v>0</v>
      </c>
      <c r="S11" s="59">
        <v>18</v>
      </c>
      <c r="T11" s="61">
        <f t="shared" si="2"/>
        <v>29.819310428755379</v>
      </c>
      <c r="U11" s="62">
        <f t="shared" si="3"/>
        <v>0.2411847306734301</v>
      </c>
    </row>
    <row r="12" spans="2:21" x14ac:dyDescent="0.2">
      <c r="B12" s="57">
        <v>6</v>
      </c>
      <c r="C12" s="63" t="s">
        <v>89</v>
      </c>
      <c r="D12" s="58">
        <v>1</v>
      </c>
      <c r="E12" s="59">
        <f t="shared" si="4"/>
        <v>56.984757723520765</v>
      </c>
      <c r="F12" s="59">
        <f t="shared" si="5"/>
        <v>29.492378861760383</v>
      </c>
      <c r="G12" s="59">
        <f t="shared" si="6"/>
        <v>5</v>
      </c>
      <c r="H12" s="59">
        <v>34</v>
      </c>
      <c r="I12" s="59">
        <f t="shared" si="7"/>
        <v>13</v>
      </c>
      <c r="J12" s="61">
        <f t="shared" si="0"/>
        <v>42.996251819669943</v>
      </c>
      <c r="K12" s="62">
        <f t="shared" si="1"/>
        <v>9.0909090909090912E-2</v>
      </c>
      <c r="L12" s="57">
        <v>6</v>
      </c>
      <c r="M12" s="63" t="s">
        <v>144</v>
      </c>
      <c r="N12" s="58">
        <v>6</v>
      </c>
      <c r="O12" s="59">
        <f t="shared" si="8"/>
        <v>29.492378861760383</v>
      </c>
      <c r="P12" s="59">
        <f t="shared" si="9"/>
        <v>33.428926219480431</v>
      </c>
      <c r="Q12" s="59">
        <f t="shared" si="10"/>
        <v>17.809642073160141</v>
      </c>
      <c r="R12" s="59">
        <f t="shared" si="11"/>
        <v>0</v>
      </c>
      <c r="S12" s="59">
        <v>18</v>
      </c>
      <c r="T12" s="61">
        <f t="shared" si="2"/>
        <v>36.565948167953451</v>
      </c>
      <c r="U12" s="62">
        <f t="shared" si="3"/>
        <v>0.2626417354326282</v>
      </c>
    </row>
    <row r="13" spans="2:21" x14ac:dyDescent="0.2">
      <c r="B13" s="57">
        <v>7</v>
      </c>
      <c r="C13" s="63" t="s">
        <v>90</v>
      </c>
      <c r="D13" s="58">
        <v>1</v>
      </c>
      <c r="E13" s="59">
        <f t="shared" si="4"/>
        <v>67.419097544863149</v>
      </c>
      <c r="F13" s="59">
        <f t="shared" si="5"/>
        <v>34.709548772431575</v>
      </c>
      <c r="G13" s="59">
        <f t="shared" si="6"/>
        <v>5</v>
      </c>
      <c r="H13" s="59">
        <v>36</v>
      </c>
      <c r="I13" s="59">
        <f t="shared" si="7"/>
        <v>13</v>
      </c>
      <c r="J13" s="61">
        <f t="shared" si="0"/>
        <v>50.735540796067447</v>
      </c>
      <c r="K13" s="62">
        <f t="shared" si="1"/>
        <v>9.0909090909090912E-2</v>
      </c>
      <c r="L13" s="57">
        <v>7</v>
      </c>
      <c r="M13" s="63" t="s">
        <v>145</v>
      </c>
      <c r="N13" s="58">
        <v>6</v>
      </c>
      <c r="O13" s="59">
        <f t="shared" si="8"/>
        <v>34.709548772431575</v>
      </c>
      <c r="P13" s="59">
        <f t="shared" si="9"/>
        <v>39.29824236898552</v>
      </c>
      <c r="Q13" s="59">
        <f t="shared" si="10"/>
        <v>19.766080789661842</v>
      </c>
      <c r="R13" s="59">
        <f t="shared" si="11"/>
        <v>0</v>
      </c>
      <c r="S13" s="59">
        <v>18</v>
      </c>
      <c r="T13" s="61">
        <f t="shared" si="2"/>
        <v>43.626282613712817</v>
      </c>
      <c r="U13" s="62">
        <f t="shared" si="3"/>
        <v>0.2833193518388214</v>
      </c>
    </row>
    <row r="14" spans="2:21" x14ac:dyDescent="0.2">
      <c r="B14" s="57">
        <v>8</v>
      </c>
      <c r="C14" s="63" t="s">
        <v>91</v>
      </c>
      <c r="D14" s="58">
        <v>1</v>
      </c>
      <c r="E14" s="59">
        <f t="shared" si="4"/>
        <v>78.029586466187766</v>
      </c>
      <c r="F14" s="59">
        <f t="shared" si="5"/>
        <v>40.014793233093883</v>
      </c>
      <c r="G14" s="59">
        <f t="shared" si="6"/>
        <v>5</v>
      </c>
      <c r="H14" s="59">
        <v>38</v>
      </c>
      <c r="I14" s="59">
        <f t="shared" si="7"/>
        <v>13</v>
      </c>
      <c r="J14" s="61">
        <f t="shared" si="0"/>
        <v>58.60521773152248</v>
      </c>
      <c r="K14" s="62">
        <f t="shared" si="1"/>
        <v>9.0909090909090912E-2</v>
      </c>
      <c r="L14" s="57">
        <v>8</v>
      </c>
      <c r="M14" s="63" t="s">
        <v>146</v>
      </c>
      <c r="N14" s="58">
        <v>6</v>
      </c>
      <c r="O14" s="59">
        <f t="shared" si="8"/>
        <v>40.014793233093883</v>
      </c>
      <c r="P14" s="59">
        <f t="shared" si="9"/>
        <v>45.266642387230618</v>
      </c>
      <c r="Q14" s="59">
        <f t="shared" si="10"/>
        <v>21.755547462410206</v>
      </c>
      <c r="R14" s="59">
        <f t="shared" si="11"/>
        <v>0</v>
      </c>
      <c r="S14" s="59">
        <v>18</v>
      </c>
      <c r="T14" s="61">
        <f t="shared" si="2"/>
        <v>50.984970066771425</v>
      </c>
      <c r="U14" s="62">
        <f t="shared" si="3"/>
        <v>0.30318976346472787</v>
      </c>
    </row>
    <row r="15" spans="2:21" x14ac:dyDescent="0.2">
      <c r="B15" s="57">
        <v>9</v>
      </c>
      <c r="C15" s="63" t="s">
        <v>92</v>
      </c>
      <c r="D15" s="58">
        <v>1</v>
      </c>
      <c r="E15" s="59">
        <f t="shared" si="4"/>
        <v>88.79324245407463</v>
      </c>
      <c r="F15" s="59">
        <f t="shared" si="5"/>
        <v>45.396621227037315</v>
      </c>
      <c r="G15" s="59">
        <f t="shared" si="6"/>
        <v>5</v>
      </c>
      <c r="H15" s="59">
        <v>40</v>
      </c>
      <c r="I15" s="59">
        <f t="shared" si="7"/>
        <v>13</v>
      </c>
      <c r="J15" s="61">
        <f t="shared" si="0"/>
        <v>66.588321158660591</v>
      </c>
      <c r="K15" s="62">
        <f t="shared" si="1"/>
        <v>9.0909090909090912E-2</v>
      </c>
      <c r="L15" s="57">
        <v>9</v>
      </c>
      <c r="M15" s="63" t="s">
        <v>147</v>
      </c>
      <c r="N15" s="58">
        <v>6</v>
      </c>
      <c r="O15" s="59">
        <f t="shared" si="8"/>
        <v>45.396621227037315</v>
      </c>
      <c r="P15" s="59">
        <f t="shared" si="9"/>
        <v>51.321198880416979</v>
      </c>
      <c r="Q15" s="59">
        <f t="shared" si="10"/>
        <v>23.773732960138993</v>
      </c>
      <c r="R15" s="59">
        <f t="shared" si="11"/>
        <v>0</v>
      </c>
      <c r="S15" s="59">
        <v>18</v>
      </c>
      <c r="T15" s="61">
        <f t="shared" si="2"/>
        <v>58.630829598176945</v>
      </c>
      <c r="U15" s="62">
        <f t="shared" si="3"/>
        <v>0.3222519995427679</v>
      </c>
    </row>
    <row r="16" spans="2:21" x14ac:dyDescent="0.2">
      <c r="B16" s="57">
        <v>10</v>
      </c>
      <c r="C16" s="63" t="s">
        <v>93</v>
      </c>
      <c r="D16" s="58">
        <v>1</v>
      </c>
      <c r="E16" s="59">
        <f t="shared" si="4"/>
        <v>99.69262765231727</v>
      </c>
      <c r="F16" s="59">
        <f t="shared" si="5"/>
        <v>50.846313826158635</v>
      </c>
      <c r="G16" s="59">
        <f t="shared" si="6"/>
        <v>5</v>
      </c>
      <c r="H16" s="59">
        <v>42</v>
      </c>
      <c r="I16" s="59">
        <f t="shared" si="7"/>
        <v>13</v>
      </c>
      <c r="J16" s="61">
        <f t="shared" si="0"/>
        <v>74.671968602284181</v>
      </c>
      <c r="K16" s="62">
        <f t="shared" si="1"/>
        <v>9.0909090909090912E-2</v>
      </c>
      <c r="L16" s="57">
        <v>10</v>
      </c>
      <c r="M16" s="63" t="s">
        <v>148</v>
      </c>
      <c r="N16" s="58">
        <v>6</v>
      </c>
      <c r="O16" s="59">
        <f t="shared" si="8"/>
        <v>50.846313826158635</v>
      </c>
      <c r="P16" s="59">
        <f t="shared" si="9"/>
        <v>57.452103054428463</v>
      </c>
      <c r="Q16" s="59">
        <f t="shared" si="10"/>
        <v>25.81736768480949</v>
      </c>
      <c r="R16" s="59">
        <f t="shared" si="11"/>
        <v>0</v>
      </c>
      <c r="S16" s="59">
        <v>18</v>
      </c>
      <c r="T16" s="61">
        <f t="shared" si="2"/>
        <v>66.555208921866011</v>
      </c>
      <c r="U16" s="62">
        <f t="shared" si="3"/>
        <v>0.34052049646643395</v>
      </c>
    </row>
    <row r="17" spans="2:21" x14ac:dyDescent="0.2">
      <c r="B17" s="57">
        <v>11</v>
      </c>
      <c r="C17" s="63" t="s">
        <v>94</v>
      </c>
      <c r="D17" s="58">
        <v>1</v>
      </c>
      <c r="E17" s="59">
        <f t="shared" si="4"/>
        <v>110.71403294353344</v>
      </c>
      <c r="F17" s="59">
        <f t="shared" si="5"/>
        <v>56.35701647176672</v>
      </c>
      <c r="G17" s="59">
        <f t="shared" si="6"/>
        <v>5</v>
      </c>
      <c r="H17" s="59">
        <v>44</v>
      </c>
      <c r="I17" s="59">
        <f t="shared" si="7"/>
        <v>13</v>
      </c>
      <c r="J17" s="61">
        <f t="shared" si="0"/>
        <v>82.846024865891309</v>
      </c>
      <c r="K17" s="62">
        <f t="shared" si="1"/>
        <v>9.0909090909090912E-2</v>
      </c>
      <c r="L17" s="57">
        <v>11</v>
      </c>
      <c r="M17" s="63" t="s">
        <v>149</v>
      </c>
      <c r="N17" s="58">
        <v>6</v>
      </c>
      <c r="O17" s="59">
        <f t="shared" si="8"/>
        <v>56.35701647176672</v>
      </c>
      <c r="P17" s="59">
        <f t="shared" si="9"/>
        <v>63.651643530737559</v>
      </c>
      <c r="Q17" s="59">
        <f t="shared" si="10"/>
        <v>27.883881176912521</v>
      </c>
      <c r="R17" s="59">
        <f t="shared" si="11"/>
        <v>0</v>
      </c>
      <c r="S17" s="59">
        <v>18</v>
      </c>
      <c r="T17" s="61">
        <f t="shared" si="2"/>
        <v>74.751101798366236</v>
      </c>
      <c r="U17" s="62">
        <f t="shared" si="3"/>
        <v>0.35801863948683477</v>
      </c>
    </row>
    <row r="18" spans="2:21" x14ac:dyDescent="0.2">
      <c r="B18" s="48"/>
      <c r="C18" s="49"/>
      <c r="D18" s="49"/>
      <c r="E18" s="49" t="s">
        <v>63</v>
      </c>
      <c r="F18" s="49" t="s">
        <v>64</v>
      </c>
      <c r="G18" s="50" t="s">
        <v>65</v>
      </c>
      <c r="H18" s="49" t="s">
        <v>66</v>
      </c>
      <c r="I18" s="51" t="s">
        <v>67</v>
      </c>
      <c r="J18" s="52"/>
      <c r="K18" s="62"/>
      <c r="L18" s="49"/>
      <c r="M18" s="49"/>
      <c r="N18" s="49"/>
      <c r="O18" s="49" t="s">
        <v>63</v>
      </c>
      <c r="P18" s="49" t="s">
        <v>64</v>
      </c>
      <c r="Q18" s="50" t="s">
        <v>65</v>
      </c>
      <c r="R18" s="49" t="s">
        <v>66</v>
      </c>
      <c r="S18" s="51" t="s">
        <v>67</v>
      </c>
      <c r="T18" s="52"/>
      <c r="U18" s="62"/>
    </row>
    <row r="19" spans="2:21" x14ac:dyDescent="0.2">
      <c r="B19" s="55"/>
      <c r="C19" s="49"/>
      <c r="D19" s="49"/>
      <c r="E19" s="49">
        <v>3.5</v>
      </c>
      <c r="F19" s="49">
        <v>7</v>
      </c>
      <c r="G19" s="50">
        <v>1</v>
      </c>
      <c r="H19" s="49"/>
      <c r="I19" s="51"/>
      <c r="J19" s="52"/>
      <c r="K19" s="62"/>
      <c r="L19" s="49"/>
      <c r="M19" s="49"/>
      <c r="N19" s="49"/>
      <c r="O19" s="56">
        <v>4</v>
      </c>
      <c r="P19" s="49">
        <v>4.5</v>
      </c>
      <c r="Q19" s="50">
        <v>1.5</v>
      </c>
      <c r="R19" s="49"/>
      <c r="S19" s="51"/>
      <c r="T19" s="52"/>
      <c r="U19" s="62"/>
    </row>
    <row r="20" spans="2:21" x14ac:dyDescent="0.2">
      <c r="B20" s="55" t="s">
        <v>0</v>
      </c>
      <c r="C20" s="49" t="s">
        <v>69</v>
      </c>
      <c r="D20" s="56" t="s">
        <v>30</v>
      </c>
      <c r="E20" s="56">
        <v>1.1000000000000001</v>
      </c>
      <c r="F20" s="49">
        <v>1.1000000000000001</v>
      </c>
      <c r="G20" s="50">
        <v>1.1000000000000001</v>
      </c>
      <c r="H20" s="49"/>
      <c r="I20" s="51"/>
      <c r="J20" s="52"/>
      <c r="K20" s="62"/>
      <c r="L20" s="55" t="s">
        <v>0</v>
      </c>
      <c r="M20" s="49" t="s">
        <v>69</v>
      </c>
      <c r="N20" s="56" t="s">
        <v>30</v>
      </c>
      <c r="O20" s="49">
        <v>1.1000000000000001</v>
      </c>
      <c r="P20" s="56">
        <v>1.1000000000000001</v>
      </c>
      <c r="Q20" s="50">
        <v>1.1000000000000001</v>
      </c>
      <c r="R20" s="49"/>
      <c r="S20" s="51"/>
      <c r="T20" s="52"/>
      <c r="U20" s="62"/>
    </row>
    <row r="21" spans="2:21" x14ac:dyDescent="0.2">
      <c r="B21" s="57">
        <v>1</v>
      </c>
      <c r="C21" s="63" t="s">
        <v>106</v>
      </c>
      <c r="D21" s="58">
        <v>3</v>
      </c>
      <c r="E21" s="59">
        <v>5</v>
      </c>
      <c r="F21" s="59">
        <v>11</v>
      </c>
      <c r="G21" s="59">
        <v>8</v>
      </c>
      <c r="H21" s="59">
        <v>14</v>
      </c>
      <c r="I21" s="59">
        <v>15</v>
      </c>
      <c r="J21" s="61">
        <f>(E21*F21/(1-G21/(G21+$K$6)))^0.5</f>
        <v>7.9874902190863439</v>
      </c>
      <c r="K21" s="62">
        <f t="shared" si="1"/>
        <v>0.13793103448275862</v>
      </c>
      <c r="L21" s="57">
        <v>1</v>
      </c>
      <c r="M21" s="63" t="s">
        <v>128</v>
      </c>
      <c r="N21" s="58">
        <v>5</v>
      </c>
      <c r="O21" s="59">
        <v>6</v>
      </c>
      <c r="P21" s="59">
        <v>7</v>
      </c>
      <c r="Q21" s="59">
        <v>9</v>
      </c>
      <c r="R21" s="59">
        <v>0</v>
      </c>
      <c r="S21" s="59">
        <v>22</v>
      </c>
      <c r="T21" s="61">
        <f>(O21*P21/(1-Q21/(Q21+$K$6)))^0.5</f>
        <v>7.0398863627192165</v>
      </c>
      <c r="U21" s="62">
        <f t="shared" si="3"/>
        <v>0.15254237288135594</v>
      </c>
    </row>
    <row r="22" spans="2:21" x14ac:dyDescent="0.2">
      <c r="B22" s="57">
        <v>2</v>
      </c>
      <c r="C22" s="63" t="s">
        <v>107</v>
      </c>
      <c r="D22" s="58">
        <v>3</v>
      </c>
      <c r="E22" s="59">
        <f>E$19*B21^E$20+E$21</f>
        <v>8.5</v>
      </c>
      <c r="F22" s="59">
        <f>F$19*B21^F$20+F$21</f>
        <v>18</v>
      </c>
      <c r="G22" s="59">
        <f>G$19*B21^G$20+G$21</f>
        <v>9</v>
      </c>
      <c r="H22" s="59">
        <v>14</v>
      </c>
      <c r="I22" s="59">
        <v>15</v>
      </c>
      <c r="J22" s="61">
        <f t="shared" ref="J22:J31" si="12">(E22*F22/(1-G22/(G22+$K$6)))^0.5</f>
        <v>13.436517405935216</v>
      </c>
      <c r="K22" s="62">
        <f t="shared" si="1"/>
        <v>0.15254237288135594</v>
      </c>
      <c r="L22" s="57">
        <v>2</v>
      </c>
      <c r="M22" s="63" t="s">
        <v>129</v>
      </c>
      <c r="N22" s="58">
        <v>5</v>
      </c>
      <c r="O22" s="59">
        <f>O$19*L21^O$20+O$21</f>
        <v>10</v>
      </c>
      <c r="P22" s="59">
        <f>P$19*L21^P$20+P$21</f>
        <v>11.5</v>
      </c>
      <c r="Q22" s="59">
        <f>Q$19*L21^Q$20+Q$21</f>
        <v>10.5</v>
      </c>
      <c r="R22" s="59">
        <f>R$5*L21^R$6+R$7</f>
        <v>0</v>
      </c>
      <c r="S22" s="59">
        <v>22</v>
      </c>
      <c r="T22" s="61">
        <f t="shared" ref="T22:T31" si="13">(O22*P22/(1-Q22/(Q22+$K$6)))^0.5</f>
        <v>11.79618582423997</v>
      </c>
      <c r="U22" s="62">
        <f t="shared" si="3"/>
        <v>0.17355371900826447</v>
      </c>
    </row>
    <row r="23" spans="2:21" x14ac:dyDescent="0.2">
      <c r="B23" s="57">
        <v>3</v>
      </c>
      <c r="C23" s="63" t="s">
        <v>108</v>
      </c>
      <c r="D23" s="58">
        <v>3</v>
      </c>
      <c r="E23" s="59">
        <f t="shared" ref="E23:E31" si="14">E$19*B22^E$20+E$21</f>
        <v>12.502414237754053</v>
      </c>
      <c r="F23" s="59">
        <f t="shared" ref="F23:F31" si="15">F$19*B22^F$20+F$21</f>
        <v>26.004828475508106</v>
      </c>
      <c r="G23" s="59">
        <f t="shared" ref="G23:G31" si="16">G$19*B22^G$20+G$21</f>
        <v>10.143546925072586</v>
      </c>
      <c r="H23" s="59">
        <v>14</v>
      </c>
      <c r="I23" s="59">
        <v>15</v>
      </c>
      <c r="J23" s="61">
        <f t="shared" si="12"/>
        <v>19.775772396369913</v>
      </c>
      <c r="K23" s="62">
        <f t="shared" si="1"/>
        <v>0.1686556155011861</v>
      </c>
      <c r="L23" s="57">
        <v>3</v>
      </c>
      <c r="M23" s="63" t="s">
        <v>130</v>
      </c>
      <c r="N23" s="58">
        <v>5</v>
      </c>
      <c r="O23" s="59">
        <f t="shared" ref="O23:O31" si="17">O$19*L22^O$20+O$21</f>
        <v>14.574187700290345</v>
      </c>
      <c r="P23" s="59">
        <f t="shared" ref="P23:P31" si="18">P$19*L22^P$20+P$21</f>
        <v>16.645961162826637</v>
      </c>
      <c r="Q23" s="59">
        <f t="shared" ref="Q23:Q31" si="19">Q$19*L22^Q$20+Q$21</f>
        <v>12.21532038760888</v>
      </c>
      <c r="R23" s="59">
        <f t="shared" ref="R23:R31" si="20">R$5*L22^R$6+R$7</f>
        <v>0</v>
      </c>
      <c r="S23" s="59">
        <v>22</v>
      </c>
      <c r="T23" s="61">
        <f t="shared" si="13"/>
        <v>17.374418833790696</v>
      </c>
      <c r="U23" s="62">
        <f t="shared" si="3"/>
        <v>0.1963394275156983</v>
      </c>
    </row>
    <row r="24" spans="2:21" x14ac:dyDescent="0.2">
      <c r="B24" s="57">
        <v>4</v>
      </c>
      <c r="C24" s="63" t="s">
        <v>109</v>
      </c>
      <c r="D24" s="58">
        <v>3</v>
      </c>
      <c r="E24" s="59">
        <f t="shared" si="14"/>
        <v>16.719293327355999</v>
      </c>
      <c r="F24" s="59">
        <f t="shared" si="15"/>
        <v>34.438586654711997</v>
      </c>
      <c r="G24" s="59">
        <f t="shared" si="16"/>
        <v>11.348369522101713</v>
      </c>
      <c r="H24" s="59">
        <v>14</v>
      </c>
      <c r="I24" s="59">
        <v>17</v>
      </c>
      <c r="J24" s="61">
        <f t="shared" si="12"/>
        <v>26.579580898087048</v>
      </c>
      <c r="K24" s="62">
        <f t="shared" si="1"/>
        <v>0.18498241453692238</v>
      </c>
      <c r="L24" s="57">
        <v>4</v>
      </c>
      <c r="M24" s="63" t="s">
        <v>131</v>
      </c>
      <c r="N24" s="58">
        <v>5</v>
      </c>
      <c r="O24" s="59">
        <f t="shared" si="17"/>
        <v>19.393478088406855</v>
      </c>
      <c r="P24" s="59">
        <f t="shared" si="18"/>
        <v>22.067662849457712</v>
      </c>
      <c r="Q24" s="59">
        <f t="shared" si="19"/>
        <v>14.022554283152571</v>
      </c>
      <c r="R24" s="59">
        <f t="shared" si="20"/>
        <v>0</v>
      </c>
      <c r="S24" s="59">
        <v>22</v>
      </c>
      <c r="T24" s="61">
        <f t="shared" si="13"/>
        <v>23.409251003730301</v>
      </c>
      <c r="U24" s="62">
        <f t="shared" si="3"/>
        <v>0.21902522384744313</v>
      </c>
    </row>
    <row r="25" spans="2:21" x14ac:dyDescent="0.2">
      <c r="B25" s="57">
        <v>5</v>
      </c>
      <c r="C25" s="63" t="s">
        <v>110</v>
      </c>
      <c r="D25" s="58">
        <v>3</v>
      </c>
      <c r="E25" s="59">
        <f t="shared" si="14"/>
        <v>21.08177696995849</v>
      </c>
      <c r="F25" s="59">
        <f t="shared" si="15"/>
        <v>43.16355393991698</v>
      </c>
      <c r="G25" s="59">
        <f t="shared" si="16"/>
        <v>12.59479341998814</v>
      </c>
      <c r="H25" s="59">
        <v>14</v>
      </c>
      <c r="I25" s="59">
        <v>17</v>
      </c>
      <c r="J25" s="61">
        <f t="shared" si="12"/>
        <v>33.751750984563316</v>
      </c>
      <c r="K25" s="62">
        <f t="shared" si="1"/>
        <v>0.20121151827248138</v>
      </c>
      <c r="L25" s="57">
        <v>5</v>
      </c>
      <c r="M25" s="63" t="s">
        <v>132</v>
      </c>
      <c r="N25" s="58">
        <v>5</v>
      </c>
      <c r="O25" s="59">
        <f t="shared" si="17"/>
        <v>24.379173679952558</v>
      </c>
      <c r="P25" s="59">
        <f t="shared" si="18"/>
        <v>27.676570389946626</v>
      </c>
      <c r="Q25" s="59">
        <f t="shared" si="19"/>
        <v>15.892190129982209</v>
      </c>
      <c r="R25" s="59">
        <f t="shared" si="20"/>
        <v>0</v>
      </c>
      <c r="S25" s="59">
        <v>22</v>
      </c>
      <c r="T25" s="61">
        <f t="shared" si="13"/>
        <v>29.819310428755379</v>
      </c>
      <c r="U25" s="62">
        <f t="shared" si="3"/>
        <v>0.2411847306734301</v>
      </c>
    </row>
    <row r="26" spans="2:21" x14ac:dyDescent="0.2">
      <c r="B26" s="57">
        <v>6</v>
      </c>
      <c r="C26" s="63" t="s">
        <v>111</v>
      </c>
      <c r="D26" s="58">
        <v>3</v>
      </c>
      <c r="E26" s="59">
        <f t="shared" si="14"/>
        <v>25.555831504040334</v>
      </c>
      <c r="F26" s="59">
        <f t="shared" si="15"/>
        <v>52.111663008080669</v>
      </c>
      <c r="G26" s="59">
        <f t="shared" si="16"/>
        <v>13.873094715440097</v>
      </c>
      <c r="H26" s="59">
        <v>14</v>
      </c>
      <c r="I26" s="59">
        <v>17</v>
      </c>
      <c r="J26" s="61">
        <f t="shared" si="12"/>
        <v>41.246438218344757</v>
      </c>
      <c r="K26" s="62">
        <f t="shared" si="1"/>
        <v>0.21719778534680176</v>
      </c>
      <c r="L26" s="57">
        <v>6</v>
      </c>
      <c r="M26" s="63" t="s">
        <v>133</v>
      </c>
      <c r="N26" s="58">
        <v>5</v>
      </c>
      <c r="O26" s="59">
        <f t="shared" si="17"/>
        <v>29.492378861760383</v>
      </c>
      <c r="P26" s="59">
        <f t="shared" si="18"/>
        <v>33.428926219480431</v>
      </c>
      <c r="Q26" s="59">
        <f t="shared" si="19"/>
        <v>17.809642073160141</v>
      </c>
      <c r="R26" s="59">
        <f t="shared" si="20"/>
        <v>0</v>
      </c>
      <c r="S26" s="59">
        <v>22</v>
      </c>
      <c r="T26" s="61">
        <f t="shared" si="13"/>
        <v>36.565948167953451</v>
      </c>
      <c r="U26" s="62">
        <f t="shared" si="3"/>
        <v>0.2626417354326282</v>
      </c>
    </row>
    <row r="27" spans="2:21" x14ac:dyDescent="0.2">
      <c r="B27" s="57">
        <v>7</v>
      </c>
      <c r="C27" s="63" t="s">
        <v>112</v>
      </c>
      <c r="D27" s="58">
        <v>3</v>
      </c>
      <c r="E27" s="59">
        <f t="shared" si="14"/>
        <v>30.12085517587763</v>
      </c>
      <c r="F27" s="59">
        <f t="shared" si="15"/>
        <v>61.241710351755259</v>
      </c>
      <c r="G27" s="59">
        <f t="shared" si="16"/>
        <v>15.177387193107894</v>
      </c>
      <c r="H27" s="59">
        <v>14</v>
      </c>
      <c r="I27" s="59">
        <v>19</v>
      </c>
      <c r="J27" s="61">
        <f t="shared" si="12"/>
        <v>49.036648029297645</v>
      </c>
      <c r="K27" s="62">
        <f t="shared" si="1"/>
        <v>0.23286277414190071</v>
      </c>
      <c r="L27" s="57">
        <v>7</v>
      </c>
      <c r="M27" s="63" t="s">
        <v>134</v>
      </c>
      <c r="N27" s="58">
        <v>5</v>
      </c>
      <c r="O27" s="59">
        <f t="shared" si="17"/>
        <v>34.709548772431575</v>
      </c>
      <c r="P27" s="59">
        <f t="shared" si="18"/>
        <v>39.29824236898552</v>
      </c>
      <c r="Q27" s="59">
        <f t="shared" si="19"/>
        <v>19.766080789661842</v>
      </c>
      <c r="R27" s="59">
        <f t="shared" si="20"/>
        <v>0</v>
      </c>
      <c r="S27" s="59">
        <v>22</v>
      </c>
      <c r="T27" s="61">
        <f t="shared" si="13"/>
        <v>43.626282613712817</v>
      </c>
      <c r="U27" s="62">
        <f t="shared" si="3"/>
        <v>0.2833193518388214</v>
      </c>
    </row>
    <row r="28" spans="2:21" x14ac:dyDescent="0.2">
      <c r="B28" s="57">
        <v>8</v>
      </c>
      <c r="C28" s="63" t="s">
        <v>113</v>
      </c>
      <c r="D28" s="58">
        <v>3</v>
      </c>
      <c r="E28" s="59">
        <f t="shared" si="14"/>
        <v>34.762944078957148</v>
      </c>
      <c r="F28" s="59">
        <f t="shared" si="15"/>
        <v>70.525888157914295</v>
      </c>
      <c r="G28" s="59">
        <f t="shared" si="16"/>
        <v>16.503698308273471</v>
      </c>
      <c r="H28" s="59">
        <v>14</v>
      </c>
      <c r="I28" s="59">
        <v>19</v>
      </c>
      <c r="J28" s="61">
        <f t="shared" si="12"/>
        <v>57.104515803099133</v>
      </c>
      <c r="K28" s="62">
        <f t="shared" si="1"/>
        <v>0.24816211320717346</v>
      </c>
      <c r="L28" s="57">
        <v>8</v>
      </c>
      <c r="M28" s="63" t="s">
        <v>135</v>
      </c>
      <c r="N28" s="58">
        <v>5</v>
      </c>
      <c r="O28" s="59">
        <f t="shared" si="17"/>
        <v>40.014793233093883</v>
      </c>
      <c r="P28" s="59">
        <f t="shared" si="18"/>
        <v>45.266642387230618</v>
      </c>
      <c r="Q28" s="59">
        <f t="shared" si="19"/>
        <v>21.755547462410206</v>
      </c>
      <c r="R28" s="59">
        <f t="shared" si="20"/>
        <v>0</v>
      </c>
      <c r="S28" s="59">
        <v>22</v>
      </c>
      <c r="T28" s="61">
        <f t="shared" si="13"/>
        <v>50.984970066771425</v>
      </c>
      <c r="U28" s="62">
        <f t="shared" si="3"/>
        <v>0.30318976346472787</v>
      </c>
    </row>
    <row r="29" spans="2:21" x14ac:dyDescent="0.2">
      <c r="B29" s="57">
        <v>9</v>
      </c>
      <c r="C29" s="63" t="s">
        <v>114</v>
      </c>
      <c r="D29" s="58">
        <v>3</v>
      </c>
      <c r="E29" s="59">
        <f t="shared" si="14"/>
        <v>39.47204357365765</v>
      </c>
      <c r="F29" s="59">
        <f t="shared" si="15"/>
        <v>79.944087147315301</v>
      </c>
      <c r="G29" s="59">
        <f t="shared" si="16"/>
        <v>17.849155306759329</v>
      </c>
      <c r="H29" s="59">
        <v>14</v>
      </c>
      <c r="I29" s="59">
        <v>19</v>
      </c>
      <c r="J29" s="61">
        <f t="shared" si="12"/>
        <v>65.43727415775335</v>
      </c>
      <c r="K29" s="62">
        <f t="shared" si="1"/>
        <v>0.26307114990687502</v>
      </c>
      <c r="L29" s="57">
        <v>9</v>
      </c>
      <c r="M29" s="63" t="s">
        <v>136</v>
      </c>
      <c r="N29" s="58">
        <v>5</v>
      </c>
      <c r="O29" s="59">
        <f t="shared" si="17"/>
        <v>45.396621227037315</v>
      </c>
      <c r="P29" s="59">
        <f t="shared" si="18"/>
        <v>51.321198880416979</v>
      </c>
      <c r="Q29" s="59">
        <f t="shared" si="19"/>
        <v>23.773732960138993</v>
      </c>
      <c r="R29" s="59">
        <f t="shared" si="20"/>
        <v>0</v>
      </c>
      <c r="S29" s="59">
        <v>22</v>
      </c>
      <c r="T29" s="61">
        <f t="shared" si="13"/>
        <v>58.630829598176945</v>
      </c>
      <c r="U29" s="62">
        <f t="shared" si="3"/>
        <v>0.3222519995427679</v>
      </c>
    </row>
    <row r="30" spans="2:21" x14ac:dyDescent="0.2">
      <c r="B30" s="57">
        <v>10</v>
      </c>
      <c r="C30" s="63" t="s">
        <v>115</v>
      </c>
      <c r="D30" s="58">
        <v>3</v>
      </c>
      <c r="E30" s="59">
        <f t="shared" si="14"/>
        <v>44.240524597888808</v>
      </c>
      <c r="F30" s="59">
        <f t="shared" si="15"/>
        <v>89.481049195777615</v>
      </c>
      <c r="G30" s="59">
        <f t="shared" si="16"/>
        <v>19.211578456539659</v>
      </c>
      <c r="H30" s="59">
        <v>14</v>
      </c>
      <c r="I30" s="59">
        <v>21</v>
      </c>
      <c r="J30" s="61">
        <f t="shared" si="12"/>
        <v>74.02527726613107</v>
      </c>
      <c r="K30" s="62">
        <f t="shared" si="1"/>
        <v>0.27757752221477328</v>
      </c>
      <c r="L30" s="57">
        <v>10</v>
      </c>
      <c r="M30" s="63" t="s">
        <v>137</v>
      </c>
      <c r="N30" s="58">
        <v>5</v>
      </c>
      <c r="O30" s="59">
        <f t="shared" si="17"/>
        <v>50.846313826158635</v>
      </c>
      <c r="P30" s="59">
        <f t="shared" si="18"/>
        <v>57.452103054428463</v>
      </c>
      <c r="Q30" s="59">
        <f t="shared" si="19"/>
        <v>25.81736768480949</v>
      </c>
      <c r="R30" s="59">
        <f t="shared" si="20"/>
        <v>0</v>
      </c>
      <c r="S30" s="59">
        <v>22</v>
      </c>
      <c r="T30" s="61">
        <f t="shared" si="13"/>
        <v>66.555208921866011</v>
      </c>
      <c r="U30" s="62">
        <f t="shared" si="3"/>
        <v>0.34052049646643395</v>
      </c>
    </row>
    <row r="31" spans="2:21" x14ac:dyDescent="0.2">
      <c r="B31" s="57">
        <v>11</v>
      </c>
      <c r="C31" s="63" t="s">
        <v>116</v>
      </c>
      <c r="D31" s="58">
        <v>3</v>
      </c>
      <c r="E31" s="59">
        <f t="shared" si="14"/>
        <v>49.062389412795881</v>
      </c>
      <c r="F31" s="59">
        <f t="shared" si="15"/>
        <v>99.124778825591761</v>
      </c>
      <c r="G31" s="59">
        <f t="shared" si="16"/>
        <v>20.589254117941678</v>
      </c>
      <c r="H31" s="59">
        <v>14</v>
      </c>
      <c r="I31" s="59">
        <v>21</v>
      </c>
      <c r="J31" s="61">
        <f t="shared" si="12"/>
        <v>82.860921261029134</v>
      </c>
      <c r="K31" s="62">
        <f t="shared" si="1"/>
        <v>0.29167689013317544</v>
      </c>
      <c r="L31" s="57">
        <v>11</v>
      </c>
      <c r="M31" s="63" t="s">
        <v>138</v>
      </c>
      <c r="N31" s="58">
        <v>5</v>
      </c>
      <c r="O31" s="59">
        <f t="shared" si="17"/>
        <v>56.35701647176672</v>
      </c>
      <c r="P31" s="59">
        <f t="shared" si="18"/>
        <v>63.651643530737559</v>
      </c>
      <c r="Q31" s="59">
        <f t="shared" si="19"/>
        <v>27.883881176912521</v>
      </c>
      <c r="R31" s="59">
        <f t="shared" si="20"/>
        <v>0</v>
      </c>
      <c r="S31" s="59">
        <v>22</v>
      </c>
      <c r="T31" s="61">
        <f t="shared" si="13"/>
        <v>74.751101798366236</v>
      </c>
      <c r="U31" s="62">
        <f t="shared" si="3"/>
        <v>0.35801863948683477</v>
      </c>
    </row>
    <row r="32" spans="2:21" x14ac:dyDescent="0.2">
      <c r="B32" s="48"/>
      <c r="C32" s="49"/>
      <c r="D32" s="49"/>
      <c r="E32" s="49" t="s">
        <v>63</v>
      </c>
      <c r="F32" s="49" t="s">
        <v>64</v>
      </c>
      <c r="G32" s="50" t="s">
        <v>65</v>
      </c>
      <c r="H32" s="49" t="s">
        <v>66</v>
      </c>
      <c r="I32" s="51" t="s">
        <v>67</v>
      </c>
      <c r="J32" s="52"/>
      <c r="K32" s="62"/>
      <c r="L32" s="49"/>
      <c r="M32" s="49"/>
      <c r="N32" s="49"/>
      <c r="O32" s="49" t="s">
        <v>63</v>
      </c>
      <c r="P32" s="49" t="s">
        <v>64</v>
      </c>
      <c r="Q32" s="50" t="s">
        <v>65</v>
      </c>
      <c r="R32" s="49" t="s">
        <v>66</v>
      </c>
      <c r="S32" s="51" t="s">
        <v>67</v>
      </c>
      <c r="T32" s="52"/>
      <c r="U32" s="62"/>
    </row>
    <row r="33" spans="2:21" x14ac:dyDescent="0.2">
      <c r="B33" s="55"/>
      <c r="C33" s="49"/>
      <c r="D33" s="49"/>
      <c r="E33" s="49">
        <v>4</v>
      </c>
      <c r="F33" s="49">
        <v>4</v>
      </c>
      <c r="G33" s="50">
        <v>3</v>
      </c>
      <c r="H33" s="49"/>
      <c r="I33" s="51"/>
      <c r="J33" s="52"/>
      <c r="K33" s="62"/>
      <c r="L33" s="49"/>
      <c r="M33" s="49"/>
      <c r="N33" s="49"/>
      <c r="O33" s="56">
        <v>4</v>
      </c>
      <c r="P33" s="49">
        <v>4.5</v>
      </c>
      <c r="Q33" s="50">
        <v>1.5</v>
      </c>
      <c r="R33" s="49"/>
      <c r="S33" s="51"/>
      <c r="T33" s="52"/>
      <c r="U33" s="62"/>
    </row>
    <row r="34" spans="2:21" x14ac:dyDescent="0.2">
      <c r="B34" s="55" t="s">
        <v>0</v>
      </c>
      <c r="C34" s="49" t="s">
        <v>69</v>
      </c>
      <c r="D34" s="56" t="s">
        <v>30</v>
      </c>
      <c r="E34" s="56">
        <v>1.1000000000000001</v>
      </c>
      <c r="F34" s="49">
        <v>1.1000000000000001</v>
      </c>
      <c r="G34" s="50">
        <v>1.1000000000000001</v>
      </c>
      <c r="H34" s="49"/>
      <c r="I34" s="51"/>
      <c r="J34" s="52"/>
      <c r="K34" s="62"/>
      <c r="L34" s="55" t="s">
        <v>0</v>
      </c>
      <c r="M34" s="49" t="s">
        <v>69</v>
      </c>
      <c r="N34" s="56" t="s">
        <v>30</v>
      </c>
      <c r="O34" s="49">
        <v>1.1000000000000001</v>
      </c>
      <c r="P34" s="56">
        <v>1.1000000000000001</v>
      </c>
      <c r="Q34" s="50">
        <v>1.1000000000000001</v>
      </c>
      <c r="R34" s="49"/>
      <c r="S34" s="51"/>
      <c r="T34" s="52"/>
      <c r="U34" s="62"/>
    </row>
    <row r="35" spans="2:21" x14ac:dyDescent="0.2">
      <c r="B35" s="57">
        <v>1</v>
      </c>
      <c r="C35" s="63" t="s">
        <v>95</v>
      </c>
      <c r="D35" s="58">
        <v>2</v>
      </c>
      <c r="E35" s="59">
        <v>6</v>
      </c>
      <c r="F35" s="59">
        <v>8</v>
      </c>
      <c r="G35" s="59">
        <v>17</v>
      </c>
      <c r="H35" s="59">
        <v>16</v>
      </c>
      <c r="I35" s="59">
        <v>10</v>
      </c>
      <c r="J35" s="61">
        <f>(E35*F35/(1-G35/(G35+$K$6)))^0.5</f>
        <v>8.0199750623053685</v>
      </c>
      <c r="K35" s="62">
        <f t="shared" si="1"/>
        <v>0.2537313432835821</v>
      </c>
      <c r="L35" s="57">
        <v>1</v>
      </c>
      <c r="M35" s="63" t="s">
        <v>139</v>
      </c>
      <c r="N35" s="58">
        <v>4</v>
      </c>
      <c r="O35" s="59">
        <v>6</v>
      </c>
      <c r="P35" s="59">
        <v>7</v>
      </c>
      <c r="Q35" s="59">
        <v>9</v>
      </c>
      <c r="R35" s="59">
        <v>0</v>
      </c>
      <c r="S35" s="59">
        <v>15</v>
      </c>
      <c r="T35" s="61">
        <f>(O35*P35/(1-Q35/(Q35+$K$6)))^0.5</f>
        <v>7.0398863627192165</v>
      </c>
      <c r="U35" s="62">
        <f t="shared" si="3"/>
        <v>0.15254237288135594</v>
      </c>
    </row>
    <row r="36" spans="2:21" x14ac:dyDescent="0.2">
      <c r="B36" s="57">
        <v>2</v>
      </c>
      <c r="C36" s="63" t="s">
        <v>96</v>
      </c>
      <c r="D36" s="58">
        <v>2</v>
      </c>
      <c r="E36" s="59">
        <f>E$33*B35^E$34+E$35</f>
        <v>10</v>
      </c>
      <c r="F36" s="59">
        <f>F$33*B35^F$34+F$35</f>
        <v>12</v>
      </c>
      <c r="G36" s="59">
        <f>G$33*B35^G$34+G$35</f>
        <v>20</v>
      </c>
      <c r="H36" s="59">
        <v>17</v>
      </c>
      <c r="I36" s="59">
        <f>I$33*B35^I$34+I$35</f>
        <v>10</v>
      </c>
      <c r="J36" s="61">
        <f t="shared" ref="J36:J45" si="21">(E36*F36/(1-G36/(G36+$K$6)))^0.5</f>
        <v>12.961481396815721</v>
      </c>
      <c r="K36" s="62">
        <f t="shared" si="1"/>
        <v>0.2857142857142857</v>
      </c>
      <c r="L36" s="57">
        <v>2</v>
      </c>
      <c r="M36" s="63" t="s">
        <v>140</v>
      </c>
      <c r="N36" s="58">
        <v>4</v>
      </c>
      <c r="O36" s="59">
        <f>O$33*L35^O$34+O$35</f>
        <v>10</v>
      </c>
      <c r="P36" s="59">
        <f>P$33*L35^P$34+P$35</f>
        <v>11.5</v>
      </c>
      <c r="Q36" s="59">
        <f>Q$33*L35^Q$34+Q$35</f>
        <v>10.5</v>
      </c>
      <c r="R36" s="59">
        <f>R$33*L35^R$34+R$35</f>
        <v>0</v>
      </c>
      <c r="S36" s="59">
        <f>S$33*L35^S$34+S$35</f>
        <v>15</v>
      </c>
      <c r="T36" s="61">
        <f t="shared" ref="T36:T45" si="22">(O36*P36/(1-Q36/(Q36+$K$6)))^0.5</f>
        <v>11.79618582423997</v>
      </c>
      <c r="U36" s="62">
        <f t="shared" si="3"/>
        <v>0.17355371900826447</v>
      </c>
    </row>
    <row r="37" spans="2:21" x14ac:dyDescent="0.2">
      <c r="B37" s="57">
        <v>3</v>
      </c>
      <c r="C37" s="63" t="s">
        <v>97</v>
      </c>
      <c r="D37" s="58">
        <v>2</v>
      </c>
      <c r="E37" s="59">
        <f t="shared" ref="E37:E45" si="23">E$33*B36^E$34+E$35</f>
        <v>14.574187700290345</v>
      </c>
      <c r="F37" s="59">
        <f t="shared" ref="F37:F45" si="24">F$33*B36^F$34+F$35</f>
        <v>16.574187700290345</v>
      </c>
      <c r="G37" s="59">
        <f t="shared" ref="G37:G45" si="25">G$33*B36^G$34+G$35</f>
        <v>23.430640775217761</v>
      </c>
      <c r="H37" s="59">
        <v>18</v>
      </c>
      <c r="I37" s="59">
        <f t="shared" ref="I37:I45" si="26">I$33*B36^I$34+I$35</f>
        <v>10</v>
      </c>
      <c r="J37" s="61">
        <f t="shared" si="21"/>
        <v>18.834841180956392</v>
      </c>
      <c r="K37" s="62">
        <f t="shared" si="1"/>
        <v>0.31908533723602489</v>
      </c>
      <c r="L37" s="57">
        <v>3</v>
      </c>
      <c r="M37" s="63" t="s">
        <v>141</v>
      </c>
      <c r="N37" s="58">
        <v>4</v>
      </c>
      <c r="O37" s="59">
        <f t="shared" ref="O37:O45" si="27">O$33*L36^O$34+O$35</f>
        <v>14.574187700290345</v>
      </c>
      <c r="P37" s="59">
        <f t="shared" ref="P37:P45" si="28">P$33*L36^P$34+P$35</f>
        <v>16.645961162826637</v>
      </c>
      <c r="Q37" s="59">
        <f t="shared" ref="Q37:Q45" si="29">Q$33*L36^Q$34+Q$35</f>
        <v>12.21532038760888</v>
      </c>
      <c r="R37" s="59">
        <f t="shared" ref="R37:R45" si="30">R$33*L36^R$34+R$35</f>
        <v>0</v>
      </c>
      <c r="S37" s="59">
        <f t="shared" ref="S37:S45" si="31">S$33*L36^S$34+S$35</f>
        <v>15</v>
      </c>
      <c r="T37" s="61">
        <f t="shared" si="22"/>
        <v>17.374418833790696</v>
      </c>
      <c r="U37" s="62">
        <f t="shared" si="3"/>
        <v>0.1963394275156983</v>
      </c>
    </row>
    <row r="38" spans="2:21" x14ac:dyDescent="0.2">
      <c r="B38" s="57">
        <v>4</v>
      </c>
      <c r="C38" s="63" t="s">
        <v>98</v>
      </c>
      <c r="D38" s="58">
        <v>2</v>
      </c>
      <c r="E38" s="59">
        <f t="shared" si="23"/>
        <v>19.393478088406855</v>
      </c>
      <c r="F38" s="59">
        <f t="shared" si="24"/>
        <v>21.393478088406855</v>
      </c>
      <c r="G38" s="59">
        <f t="shared" si="25"/>
        <v>27.045108566305142</v>
      </c>
      <c r="H38" s="59">
        <v>19</v>
      </c>
      <c r="I38" s="59">
        <f t="shared" si="26"/>
        <v>10</v>
      </c>
      <c r="J38" s="61">
        <f t="shared" si="21"/>
        <v>25.284599782850776</v>
      </c>
      <c r="K38" s="62">
        <f t="shared" si="1"/>
        <v>0.35102953412065191</v>
      </c>
      <c r="L38" s="57">
        <v>4</v>
      </c>
      <c r="M38" s="63" t="s">
        <v>142</v>
      </c>
      <c r="N38" s="58">
        <v>4</v>
      </c>
      <c r="O38" s="59">
        <f t="shared" si="27"/>
        <v>19.393478088406855</v>
      </c>
      <c r="P38" s="59">
        <f t="shared" si="28"/>
        <v>22.067662849457712</v>
      </c>
      <c r="Q38" s="59">
        <f t="shared" si="29"/>
        <v>14.022554283152571</v>
      </c>
      <c r="R38" s="59">
        <f t="shared" si="30"/>
        <v>0</v>
      </c>
      <c r="S38" s="59">
        <f t="shared" si="31"/>
        <v>15</v>
      </c>
      <c r="T38" s="61">
        <f t="shared" si="22"/>
        <v>23.409251003730301</v>
      </c>
      <c r="U38" s="62">
        <f t="shared" si="3"/>
        <v>0.21902522384744313</v>
      </c>
    </row>
    <row r="39" spans="2:21" x14ac:dyDescent="0.2">
      <c r="B39" s="57">
        <v>5</v>
      </c>
      <c r="C39" s="63" t="s">
        <v>99</v>
      </c>
      <c r="D39" s="58">
        <v>2</v>
      </c>
      <c r="E39" s="59">
        <f t="shared" si="23"/>
        <v>24.379173679952558</v>
      </c>
      <c r="F39" s="59">
        <f t="shared" si="24"/>
        <v>26.379173679952558</v>
      </c>
      <c r="G39" s="59">
        <f t="shared" si="25"/>
        <v>30.784380259964419</v>
      </c>
      <c r="H39" s="59">
        <v>20</v>
      </c>
      <c r="I39" s="59">
        <f t="shared" si="26"/>
        <v>10</v>
      </c>
      <c r="J39" s="61">
        <f t="shared" si="21"/>
        <v>32.234339889728766</v>
      </c>
      <c r="K39" s="62">
        <f t="shared" si="1"/>
        <v>0.38106847092098961</v>
      </c>
      <c r="L39" s="57">
        <v>5</v>
      </c>
      <c r="M39" s="63" t="s">
        <v>143</v>
      </c>
      <c r="N39" s="58">
        <v>4</v>
      </c>
      <c r="O39" s="59">
        <f t="shared" si="27"/>
        <v>24.379173679952558</v>
      </c>
      <c r="P39" s="59">
        <f t="shared" si="28"/>
        <v>27.676570389946626</v>
      </c>
      <c r="Q39" s="59">
        <f t="shared" si="29"/>
        <v>15.892190129982209</v>
      </c>
      <c r="R39" s="59">
        <f t="shared" si="30"/>
        <v>0</v>
      </c>
      <c r="S39" s="59">
        <f t="shared" si="31"/>
        <v>15</v>
      </c>
      <c r="T39" s="61">
        <f t="shared" si="22"/>
        <v>29.819310428755379</v>
      </c>
      <c r="U39" s="62">
        <f t="shared" si="3"/>
        <v>0.2411847306734301</v>
      </c>
    </row>
    <row r="40" spans="2:21" x14ac:dyDescent="0.2">
      <c r="B40" s="57">
        <v>6</v>
      </c>
      <c r="C40" s="63" t="s">
        <v>100</v>
      </c>
      <c r="D40" s="58">
        <v>2</v>
      </c>
      <c r="E40" s="59">
        <f t="shared" si="23"/>
        <v>29.492378861760383</v>
      </c>
      <c r="F40" s="59">
        <f t="shared" si="24"/>
        <v>31.492378861760383</v>
      </c>
      <c r="G40" s="59">
        <f t="shared" si="25"/>
        <v>34.619284146320283</v>
      </c>
      <c r="H40" s="59">
        <v>21</v>
      </c>
      <c r="I40" s="59">
        <f t="shared" si="26"/>
        <v>10</v>
      </c>
      <c r="J40" s="61">
        <f t="shared" si="21"/>
        <v>39.646723974827694</v>
      </c>
      <c r="K40" s="62">
        <f t="shared" si="1"/>
        <v>0.40911814009745107</v>
      </c>
      <c r="L40" s="57">
        <v>6</v>
      </c>
      <c r="M40" s="63" t="s">
        <v>144</v>
      </c>
      <c r="N40" s="58">
        <v>4</v>
      </c>
      <c r="O40" s="59">
        <f t="shared" si="27"/>
        <v>29.492378861760383</v>
      </c>
      <c r="P40" s="59">
        <f t="shared" si="28"/>
        <v>33.428926219480431</v>
      </c>
      <c r="Q40" s="59">
        <f t="shared" si="29"/>
        <v>17.809642073160141</v>
      </c>
      <c r="R40" s="59">
        <f t="shared" si="30"/>
        <v>0</v>
      </c>
      <c r="S40" s="59">
        <f t="shared" si="31"/>
        <v>15</v>
      </c>
      <c r="T40" s="61">
        <f t="shared" si="22"/>
        <v>36.565948167953451</v>
      </c>
      <c r="U40" s="62">
        <f t="shared" si="3"/>
        <v>0.2626417354326282</v>
      </c>
    </row>
    <row r="41" spans="2:21" x14ac:dyDescent="0.2">
      <c r="B41" s="57">
        <v>7</v>
      </c>
      <c r="C41" s="63" t="s">
        <v>101</v>
      </c>
      <c r="D41" s="58">
        <v>2</v>
      </c>
      <c r="E41" s="59">
        <f t="shared" si="23"/>
        <v>34.709548772431575</v>
      </c>
      <c r="F41" s="59">
        <f t="shared" si="24"/>
        <v>36.709548772431575</v>
      </c>
      <c r="G41" s="59">
        <f t="shared" si="25"/>
        <v>38.532161579323684</v>
      </c>
      <c r="H41" s="59">
        <v>22</v>
      </c>
      <c r="I41" s="59">
        <f t="shared" si="26"/>
        <v>10</v>
      </c>
      <c r="J41" s="61">
        <f t="shared" si="21"/>
        <v>47.498461067122335</v>
      </c>
      <c r="K41" s="62">
        <f t="shared" si="1"/>
        <v>0.43523348907277454</v>
      </c>
      <c r="L41" s="57">
        <v>7</v>
      </c>
      <c r="M41" s="63" t="s">
        <v>145</v>
      </c>
      <c r="N41" s="58">
        <v>4</v>
      </c>
      <c r="O41" s="59">
        <f t="shared" si="27"/>
        <v>34.709548772431575</v>
      </c>
      <c r="P41" s="59">
        <f t="shared" si="28"/>
        <v>39.29824236898552</v>
      </c>
      <c r="Q41" s="59">
        <f t="shared" si="29"/>
        <v>19.766080789661842</v>
      </c>
      <c r="R41" s="59">
        <f t="shared" si="30"/>
        <v>0</v>
      </c>
      <c r="S41" s="59">
        <f t="shared" si="31"/>
        <v>15</v>
      </c>
      <c r="T41" s="61">
        <f t="shared" si="22"/>
        <v>43.626282613712817</v>
      </c>
      <c r="U41" s="62">
        <f t="shared" si="3"/>
        <v>0.2833193518388214</v>
      </c>
    </row>
    <row r="42" spans="2:21" x14ac:dyDescent="0.2">
      <c r="B42" s="57">
        <v>8</v>
      </c>
      <c r="C42" s="63" t="s">
        <v>102</v>
      </c>
      <c r="D42" s="58">
        <v>2</v>
      </c>
      <c r="E42" s="59">
        <f t="shared" si="23"/>
        <v>40.014793233093883</v>
      </c>
      <c r="F42" s="59">
        <f t="shared" si="24"/>
        <v>42.014793233093883</v>
      </c>
      <c r="G42" s="59">
        <f t="shared" si="25"/>
        <v>42.511094924820412</v>
      </c>
      <c r="H42" s="59">
        <v>23</v>
      </c>
      <c r="I42" s="59">
        <f t="shared" si="26"/>
        <v>10</v>
      </c>
      <c r="J42" s="61">
        <f t="shared" si="21"/>
        <v>55.772910960512753</v>
      </c>
      <c r="K42" s="62">
        <f t="shared" si="1"/>
        <v>0.45952428689085628</v>
      </c>
      <c r="L42" s="57">
        <v>8</v>
      </c>
      <c r="M42" s="63" t="s">
        <v>146</v>
      </c>
      <c r="N42" s="58">
        <v>4</v>
      </c>
      <c r="O42" s="59">
        <f t="shared" si="27"/>
        <v>40.014793233093883</v>
      </c>
      <c r="P42" s="59">
        <f t="shared" si="28"/>
        <v>45.266642387230618</v>
      </c>
      <c r="Q42" s="59">
        <f t="shared" si="29"/>
        <v>21.755547462410206</v>
      </c>
      <c r="R42" s="59">
        <f t="shared" si="30"/>
        <v>0</v>
      </c>
      <c r="S42" s="59">
        <f t="shared" si="31"/>
        <v>15</v>
      </c>
      <c r="T42" s="61">
        <f t="shared" si="22"/>
        <v>50.984970066771425</v>
      </c>
      <c r="U42" s="62">
        <f t="shared" si="3"/>
        <v>0.30318976346472787</v>
      </c>
    </row>
    <row r="43" spans="2:21" x14ac:dyDescent="0.2">
      <c r="B43" s="57">
        <v>9</v>
      </c>
      <c r="C43" s="63" t="s">
        <v>103</v>
      </c>
      <c r="D43" s="58">
        <v>2</v>
      </c>
      <c r="E43" s="59">
        <f t="shared" si="23"/>
        <v>45.396621227037315</v>
      </c>
      <c r="F43" s="59">
        <f t="shared" si="24"/>
        <v>47.396621227037315</v>
      </c>
      <c r="G43" s="59">
        <f t="shared" si="25"/>
        <v>46.547465920277986</v>
      </c>
      <c r="H43" s="59">
        <v>24</v>
      </c>
      <c r="I43" s="59">
        <f t="shared" si="26"/>
        <v>10</v>
      </c>
      <c r="J43" s="61">
        <f t="shared" si="21"/>
        <v>64.457119605737375</v>
      </c>
      <c r="K43" s="62">
        <f t="shared" si="1"/>
        <v>0.48212001709825886</v>
      </c>
      <c r="L43" s="57">
        <v>9</v>
      </c>
      <c r="M43" s="63" t="s">
        <v>147</v>
      </c>
      <c r="N43" s="58">
        <v>4</v>
      </c>
      <c r="O43" s="59">
        <f t="shared" si="27"/>
        <v>45.396621227037315</v>
      </c>
      <c r="P43" s="59">
        <f t="shared" si="28"/>
        <v>51.321198880416979</v>
      </c>
      <c r="Q43" s="59">
        <f t="shared" si="29"/>
        <v>23.773732960138993</v>
      </c>
      <c r="R43" s="59">
        <f t="shared" si="30"/>
        <v>0</v>
      </c>
      <c r="S43" s="59">
        <f t="shared" si="31"/>
        <v>15</v>
      </c>
      <c r="T43" s="61">
        <f t="shared" si="22"/>
        <v>58.630829598176945</v>
      </c>
      <c r="U43" s="62">
        <f t="shared" si="3"/>
        <v>0.3222519995427679</v>
      </c>
    </row>
    <row r="44" spans="2:21" x14ac:dyDescent="0.2">
      <c r="B44" s="57">
        <v>10</v>
      </c>
      <c r="C44" s="63" t="s">
        <v>104</v>
      </c>
      <c r="D44" s="58">
        <v>2</v>
      </c>
      <c r="E44" s="59">
        <f t="shared" si="23"/>
        <v>50.846313826158635</v>
      </c>
      <c r="F44" s="59">
        <f t="shared" si="24"/>
        <v>52.846313826158635</v>
      </c>
      <c r="G44" s="59">
        <f t="shared" si="25"/>
        <v>50.63473536961898</v>
      </c>
      <c r="H44" s="59">
        <v>25</v>
      </c>
      <c r="I44" s="59">
        <f t="shared" si="26"/>
        <v>10</v>
      </c>
      <c r="J44" s="61">
        <f t="shared" si="21"/>
        <v>73.54040865088929</v>
      </c>
      <c r="K44" s="62">
        <f t="shared" si="1"/>
        <v>0.50315365945608981</v>
      </c>
      <c r="L44" s="57">
        <v>10</v>
      </c>
      <c r="M44" s="63" t="s">
        <v>148</v>
      </c>
      <c r="N44" s="58">
        <v>4</v>
      </c>
      <c r="O44" s="59">
        <f t="shared" si="27"/>
        <v>50.846313826158635</v>
      </c>
      <c r="P44" s="59">
        <f t="shared" si="28"/>
        <v>57.452103054428463</v>
      </c>
      <c r="Q44" s="59">
        <f t="shared" si="29"/>
        <v>25.81736768480949</v>
      </c>
      <c r="R44" s="59">
        <f t="shared" si="30"/>
        <v>0</v>
      </c>
      <c r="S44" s="59">
        <f t="shared" si="31"/>
        <v>15</v>
      </c>
      <c r="T44" s="61">
        <f t="shared" si="22"/>
        <v>66.555208921866011</v>
      </c>
      <c r="U44" s="62">
        <f t="shared" si="3"/>
        <v>0.34052049646643395</v>
      </c>
    </row>
    <row r="45" spans="2:21" x14ac:dyDescent="0.2">
      <c r="B45" s="57">
        <v>11</v>
      </c>
      <c r="C45" s="63" t="s">
        <v>105</v>
      </c>
      <c r="D45" s="58">
        <v>2</v>
      </c>
      <c r="E45" s="59">
        <f t="shared" si="23"/>
        <v>56.35701647176672</v>
      </c>
      <c r="F45" s="59">
        <f t="shared" si="24"/>
        <v>58.35701647176672</v>
      </c>
      <c r="G45" s="59">
        <f t="shared" si="25"/>
        <v>54.767762353825042</v>
      </c>
      <c r="H45" s="59">
        <v>26</v>
      </c>
      <c r="I45" s="59">
        <f t="shared" si="26"/>
        <v>10</v>
      </c>
      <c r="J45" s="61">
        <f t="shared" si="21"/>
        <v>83.013623102137331</v>
      </c>
      <c r="K45" s="62">
        <f t="shared" si="1"/>
        <v>0.52275395716538831</v>
      </c>
      <c r="L45" s="57">
        <v>11</v>
      </c>
      <c r="M45" s="63" t="s">
        <v>149</v>
      </c>
      <c r="N45" s="58">
        <v>4</v>
      </c>
      <c r="O45" s="59">
        <f t="shared" si="27"/>
        <v>56.35701647176672</v>
      </c>
      <c r="P45" s="59">
        <f t="shared" si="28"/>
        <v>63.651643530737559</v>
      </c>
      <c r="Q45" s="59">
        <f t="shared" si="29"/>
        <v>27.883881176912521</v>
      </c>
      <c r="R45" s="59">
        <f t="shared" si="30"/>
        <v>0</v>
      </c>
      <c r="S45" s="59">
        <f t="shared" si="31"/>
        <v>15</v>
      </c>
      <c r="T45" s="61">
        <f t="shared" si="22"/>
        <v>74.751101798366236</v>
      </c>
      <c r="U45" s="62">
        <f t="shared" si="3"/>
        <v>0.35801863948683477</v>
      </c>
    </row>
    <row r="47" spans="2:21" x14ac:dyDescent="0.2">
      <c r="E47" s="65"/>
      <c r="G47" s="64"/>
      <c r="H47" s="64"/>
      <c r="I47" s="64"/>
      <c r="J47" s="64"/>
      <c r="K47" s="64"/>
      <c r="L47" s="66"/>
      <c r="M47" s="53"/>
      <c r="N47" s="67"/>
      <c r="O47" s="68"/>
      <c r="P47" s="53"/>
      <c r="Q47" s="53"/>
      <c r="S47" s="53"/>
      <c r="T47" s="53"/>
    </row>
    <row r="48" spans="2:21" x14ac:dyDescent="0.2">
      <c r="B48" s="48"/>
      <c r="C48" s="49"/>
      <c r="D48" s="49"/>
      <c r="E48" s="49" t="s">
        <v>63</v>
      </c>
      <c r="F48" s="49" t="s">
        <v>64</v>
      </c>
      <c r="G48" s="50" t="s">
        <v>65</v>
      </c>
      <c r="H48" s="49" t="s">
        <v>66</v>
      </c>
      <c r="I48" s="51" t="s">
        <v>67</v>
      </c>
      <c r="J48" s="52"/>
      <c r="K48" s="64"/>
      <c r="L48" s="66"/>
      <c r="M48" s="53"/>
      <c r="N48" s="67"/>
      <c r="O48" s="68"/>
      <c r="P48" s="53"/>
      <c r="Q48" s="53"/>
      <c r="S48" s="53"/>
      <c r="T48" s="53"/>
    </row>
    <row r="49" spans="2:20" x14ac:dyDescent="0.2">
      <c r="B49" s="55" t="s">
        <v>0</v>
      </c>
      <c r="C49" s="49" t="s">
        <v>69</v>
      </c>
      <c r="D49" s="56" t="s">
        <v>30</v>
      </c>
      <c r="E49" s="56">
        <v>1.1000000000000001</v>
      </c>
      <c r="F49" s="49">
        <v>1.1000000000000001</v>
      </c>
      <c r="G49" s="50">
        <v>1.1000000000000001</v>
      </c>
      <c r="H49" s="49"/>
      <c r="I49" s="51"/>
      <c r="J49" s="52"/>
      <c r="K49" s="64"/>
      <c r="L49" s="66"/>
      <c r="M49" s="53"/>
      <c r="N49" s="67"/>
      <c r="O49" s="68"/>
      <c r="P49" s="53"/>
      <c r="Q49" s="53"/>
      <c r="S49" s="53"/>
      <c r="T49" s="53"/>
    </row>
    <row r="50" spans="2:20" x14ac:dyDescent="0.2">
      <c r="B50" s="57">
        <v>1</v>
      </c>
      <c r="C50" s="63" t="s">
        <v>73</v>
      </c>
      <c r="D50" s="58">
        <v>7</v>
      </c>
      <c r="E50" s="59">
        <f>E35*5</f>
        <v>30</v>
      </c>
      <c r="F50" s="59">
        <f>F7*0.5</f>
        <v>3</v>
      </c>
      <c r="G50" s="59">
        <v>5</v>
      </c>
      <c r="H50" s="59">
        <v>0</v>
      </c>
      <c r="I50" s="59">
        <v>0</v>
      </c>
      <c r="J50" s="61">
        <f>(E50*F50/(1-G50/(G50+$K$6)))^0.5</f>
        <v>9.9498743710661994</v>
      </c>
    </row>
    <row r="51" spans="2:20" x14ac:dyDescent="0.2">
      <c r="B51" s="57">
        <v>2</v>
      </c>
      <c r="C51" s="63" t="s">
        <v>74</v>
      </c>
      <c r="D51" s="58">
        <v>7</v>
      </c>
      <c r="E51" s="59">
        <f t="shared" ref="E51:E60" si="32">E36*5</f>
        <v>50</v>
      </c>
      <c r="F51" s="59">
        <f t="shared" ref="F51:F60" si="33">F8*0.5</f>
        <v>5</v>
      </c>
      <c r="G51" s="59">
        <v>5</v>
      </c>
      <c r="H51" s="59">
        <v>0</v>
      </c>
      <c r="I51" s="59">
        <v>0</v>
      </c>
      <c r="J51" s="61">
        <f t="shared" ref="J51:J58" si="34">(E51*F51/(1-G51/(G51+$K$6)))^0.5</f>
        <v>16.583123951777001</v>
      </c>
    </row>
    <row r="52" spans="2:20" x14ac:dyDescent="0.2">
      <c r="B52" s="57">
        <v>3</v>
      </c>
      <c r="C52" s="63" t="s">
        <v>75</v>
      </c>
      <c r="D52" s="58">
        <v>7</v>
      </c>
      <c r="E52" s="59">
        <f t="shared" si="32"/>
        <v>72.870938501451718</v>
      </c>
      <c r="F52" s="59">
        <f t="shared" si="33"/>
        <v>7.2870938501451725</v>
      </c>
      <c r="G52" s="59">
        <v>5</v>
      </c>
      <c r="H52" s="59">
        <v>0</v>
      </c>
      <c r="I52" s="59">
        <v>0</v>
      </c>
      <c r="J52" s="61">
        <f t="shared" si="34"/>
        <v>24.168556113037855</v>
      </c>
    </row>
    <row r="53" spans="2:20" x14ac:dyDescent="0.2">
      <c r="B53" s="57">
        <v>4</v>
      </c>
      <c r="C53" s="63" t="s">
        <v>76</v>
      </c>
      <c r="D53" s="58">
        <v>7</v>
      </c>
      <c r="E53" s="59">
        <f t="shared" si="32"/>
        <v>96.967390442034272</v>
      </c>
      <c r="F53" s="59">
        <f t="shared" si="33"/>
        <v>9.6967390442034276</v>
      </c>
      <c r="G53" s="59">
        <v>5</v>
      </c>
      <c r="H53" s="59">
        <v>0</v>
      </c>
      <c r="I53" s="59">
        <v>0</v>
      </c>
      <c r="J53" s="61">
        <f t="shared" si="34"/>
        <v>32.160445099612211</v>
      </c>
    </row>
    <row r="54" spans="2:20" x14ac:dyDescent="0.2">
      <c r="B54" s="57">
        <v>5</v>
      </c>
      <c r="C54" s="63" t="s">
        <v>77</v>
      </c>
      <c r="D54" s="58">
        <v>7</v>
      </c>
      <c r="E54" s="59">
        <f t="shared" si="32"/>
        <v>121.89586839976279</v>
      </c>
      <c r="F54" s="59">
        <f t="shared" si="33"/>
        <v>12.189586839976279</v>
      </c>
      <c r="G54" s="59">
        <v>5</v>
      </c>
      <c r="H54" s="59">
        <v>0</v>
      </c>
      <c r="I54" s="59">
        <v>0</v>
      </c>
      <c r="J54" s="61">
        <f t="shared" si="34"/>
        <v>40.428285897655265</v>
      </c>
    </row>
    <row r="55" spans="2:20" x14ac:dyDescent="0.2">
      <c r="B55" s="57">
        <v>6</v>
      </c>
      <c r="C55" s="63" t="s">
        <v>78</v>
      </c>
      <c r="D55" s="58">
        <v>7</v>
      </c>
      <c r="E55" s="59">
        <f t="shared" si="32"/>
        <v>147.4618943088019</v>
      </c>
      <c r="F55" s="59">
        <f t="shared" si="33"/>
        <v>14.746189430880191</v>
      </c>
      <c r="G55" s="59">
        <v>5</v>
      </c>
      <c r="H55" s="59">
        <v>0</v>
      </c>
      <c r="I55" s="59">
        <v>0</v>
      </c>
      <c r="J55" s="61">
        <f t="shared" si="34"/>
        <v>48.907577429734026</v>
      </c>
    </row>
    <row r="56" spans="2:20" x14ac:dyDescent="0.2">
      <c r="B56" s="57">
        <v>7</v>
      </c>
      <c r="C56" s="63" t="s">
        <v>79</v>
      </c>
      <c r="D56" s="58">
        <v>7</v>
      </c>
      <c r="E56" s="59">
        <f t="shared" si="32"/>
        <v>173.54774386215786</v>
      </c>
      <c r="F56" s="59">
        <f t="shared" si="33"/>
        <v>17.354774386215787</v>
      </c>
      <c r="G56" s="59">
        <v>5</v>
      </c>
      <c r="H56" s="59">
        <v>0</v>
      </c>
      <c r="I56" s="59">
        <v>0</v>
      </c>
      <c r="J56" s="61">
        <f t="shared" si="34"/>
        <v>57.559274960348198</v>
      </c>
    </row>
    <row r="57" spans="2:20" x14ac:dyDescent="0.2">
      <c r="B57" s="57">
        <v>8</v>
      </c>
      <c r="C57" s="63" t="s">
        <v>80</v>
      </c>
      <c r="D57" s="58">
        <v>7</v>
      </c>
      <c r="E57" s="59">
        <f t="shared" si="32"/>
        <v>200.07396616546941</v>
      </c>
      <c r="F57" s="59">
        <f t="shared" si="33"/>
        <v>20.007396616546941</v>
      </c>
      <c r="G57" s="59">
        <v>5</v>
      </c>
      <c r="H57" s="59">
        <v>0</v>
      </c>
      <c r="I57" s="59">
        <v>0</v>
      </c>
      <c r="J57" s="61">
        <f t="shared" si="34"/>
        <v>66.357027608912333</v>
      </c>
    </row>
    <row r="58" spans="2:20" x14ac:dyDescent="0.2">
      <c r="B58" s="57">
        <v>9</v>
      </c>
      <c r="C58" s="63" t="s">
        <v>81</v>
      </c>
      <c r="D58" s="58">
        <v>7</v>
      </c>
      <c r="E58" s="59">
        <f t="shared" si="32"/>
        <v>226.98310613518657</v>
      </c>
      <c r="F58" s="59">
        <f t="shared" si="33"/>
        <v>22.698310613518657</v>
      </c>
      <c r="G58" s="59">
        <v>5</v>
      </c>
      <c r="H58" s="59">
        <v>0</v>
      </c>
      <c r="I58" s="59">
        <v>0</v>
      </c>
      <c r="J58" s="61">
        <f t="shared" si="34"/>
        <v>75.281779679983075</v>
      </c>
    </row>
    <row r="59" spans="2:20" x14ac:dyDescent="0.2">
      <c r="B59" s="57">
        <v>10</v>
      </c>
      <c r="C59" s="63" t="s">
        <v>82</v>
      </c>
      <c r="D59" s="58">
        <v>7</v>
      </c>
      <c r="E59" s="59">
        <f t="shared" si="32"/>
        <v>254.23156913079316</v>
      </c>
      <c r="F59" s="59">
        <f t="shared" si="33"/>
        <v>25.423156913079318</v>
      </c>
      <c r="G59" s="59">
        <v>5</v>
      </c>
      <c r="H59" s="59">
        <v>0</v>
      </c>
      <c r="I59" s="59">
        <v>0</v>
      </c>
      <c r="J59" s="61">
        <f t="shared" ref="J59:J60" si="35">(E59*F59/(1-G59/(G59+$K$6)))^0.5</f>
        <v>84.319072467014124</v>
      </c>
    </row>
    <row r="60" spans="2:20" x14ac:dyDescent="0.2">
      <c r="B60" s="57">
        <v>11</v>
      </c>
      <c r="C60" s="63" t="s">
        <v>83</v>
      </c>
      <c r="D60" s="58">
        <v>7</v>
      </c>
      <c r="E60" s="59">
        <f t="shared" si="32"/>
        <v>281.78508235883362</v>
      </c>
      <c r="F60" s="59">
        <f t="shared" si="33"/>
        <v>28.17850823588336</v>
      </c>
      <c r="G60" s="59">
        <v>5</v>
      </c>
      <c r="H60" s="59">
        <v>0</v>
      </c>
      <c r="I60" s="59">
        <v>0</v>
      </c>
      <c r="J60" s="61">
        <f t="shared" si="35"/>
        <v>93.457538970364553</v>
      </c>
    </row>
  </sheetData>
  <phoneticPr fontId="3" type="noConversion"/>
  <pageMargins left="0.75" right="0.75" top="1" bottom="1" header="0.51180555555555596" footer="0.51180555555555596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37F95-84B0-4C3E-94F0-F50247685011}">
  <sheetPr codeName="Sheet2"/>
  <dimension ref="A1:H42"/>
  <sheetViews>
    <sheetView workbookViewId="0">
      <selection activeCell="L31" sqref="L31"/>
    </sheetView>
  </sheetViews>
  <sheetFormatPr defaultRowHeight="14.25" x14ac:dyDescent="0.2"/>
  <cols>
    <col min="1" max="1" width="3.5" style="1" bestFit="1" customWidth="1"/>
    <col min="5" max="8" width="5.25" bestFit="1" customWidth="1"/>
  </cols>
  <sheetData>
    <row r="1" spans="1:8" x14ac:dyDescent="0.2">
      <c r="A1" t="s">
        <v>5</v>
      </c>
      <c r="B1" t="s">
        <v>6</v>
      </c>
      <c r="C1" t="s">
        <v>7</v>
      </c>
      <c r="D1" t="s">
        <v>150</v>
      </c>
      <c r="E1" t="s">
        <v>191</v>
      </c>
      <c r="F1" t="s">
        <v>192</v>
      </c>
      <c r="G1" t="s">
        <v>193</v>
      </c>
      <c r="H1" t="s">
        <v>194</v>
      </c>
    </row>
    <row r="2" spans="1:8" x14ac:dyDescent="0.2">
      <c r="A2">
        <v>40</v>
      </c>
      <c r="B2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2">
      <c r="A3" s="1">
        <v>0</v>
      </c>
      <c r="B3" t="s">
        <v>190</v>
      </c>
      <c r="C3">
        <v>1</v>
      </c>
      <c r="D3">
        <v>1</v>
      </c>
      <c r="E3">
        <v>171</v>
      </c>
      <c r="F3">
        <v>117</v>
      </c>
      <c r="G3">
        <v>89</v>
      </c>
      <c r="H3">
        <v>97</v>
      </c>
    </row>
    <row r="4" spans="1:8" x14ac:dyDescent="0.2">
      <c r="A4" s="1">
        <v>1</v>
      </c>
      <c r="B4" t="s">
        <v>151</v>
      </c>
      <c r="C4">
        <v>1</v>
      </c>
      <c r="D4">
        <v>1</v>
      </c>
      <c r="E4">
        <v>88</v>
      </c>
      <c r="F4">
        <v>167</v>
      </c>
      <c r="G4">
        <v>122</v>
      </c>
      <c r="H4">
        <v>97</v>
      </c>
    </row>
    <row r="5" spans="1:8" x14ac:dyDescent="0.2">
      <c r="A5" s="1">
        <v>2</v>
      </c>
      <c r="B5" t="s">
        <v>152</v>
      </c>
      <c r="C5">
        <v>1</v>
      </c>
      <c r="D5">
        <v>1</v>
      </c>
      <c r="E5">
        <v>81</v>
      </c>
      <c r="F5">
        <v>74</v>
      </c>
      <c r="G5">
        <v>97</v>
      </c>
      <c r="H5">
        <v>141</v>
      </c>
    </row>
    <row r="6" spans="1:8" x14ac:dyDescent="0.2">
      <c r="A6" s="1">
        <v>3</v>
      </c>
      <c r="B6" t="s">
        <v>153</v>
      </c>
      <c r="C6">
        <v>1</v>
      </c>
      <c r="D6">
        <v>0</v>
      </c>
      <c r="E6">
        <v>73</v>
      </c>
      <c r="F6">
        <v>141</v>
      </c>
      <c r="G6">
        <v>84</v>
      </c>
      <c r="H6">
        <v>95</v>
      </c>
    </row>
    <row r="7" spans="1:8" x14ac:dyDescent="0.2">
      <c r="A7" s="1">
        <v>4</v>
      </c>
      <c r="B7" t="s">
        <v>154</v>
      </c>
      <c r="C7">
        <v>1</v>
      </c>
      <c r="D7">
        <v>1</v>
      </c>
      <c r="E7">
        <v>77</v>
      </c>
      <c r="F7">
        <v>56</v>
      </c>
      <c r="G7">
        <v>112</v>
      </c>
      <c r="H7">
        <v>67</v>
      </c>
    </row>
    <row r="8" spans="1:8" x14ac:dyDescent="0.2">
      <c r="A8" s="1">
        <v>5</v>
      </c>
      <c r="B8" t="s">
        <v>155</v>
      </c>
      <c r="C8">
        <v>1</v>
      </c>
      <c r="D8">
        <v>1</v>
      </c>
      <c r="E8">
        <v>83</v>
      </c>
      <c r="F8">
        <v>58</v>
      </c>
      <c r="G8">
        <v>42</v>
      </c>
      <c r="H8">
        <v>48</v>
      </c>
    </row>
    <row r="9" spans="1:8" x14ac:dyDescent="0.2">
      <c r="A9" s="1">
        <v>6</v>
      </c>
      <c r="B9" t="s">
        <v>156</v>
      </c>
      <c r="C9">
        <v>0</v>
      </c>
      <c r="D9">
        <v>0</v>
      </c>
      <c r="E9">
        <v>39</v>
      </c>
      <c r="F9">
        <v>53</v>
      </c>
      <c r="G9">
        <v>28</v>
      </c>
      <c r="H9">
        <v>31</v>
      </c>
    </row>
    <row r="10" spans="1:8" x14ac:dyDescent="0.2">
      <c r="A10" s="1">
        <v>7</v>
      </c>
      <c r="B10" t="s">
        <v>157</v>
      </c>
      <c r="C10">
        <v>1</v>
      </c>
      <c r="D10">
        <v>0</v>
      </c>
      <c r="E10">
        <v>43</v>
      </c>
      <c r="F10">
        <v>82</v>
      </c>
      <c r="G10">
        <v>59</v>
      </c>
      <c r="H10">
        <v>47</v>
      </c>
    </row>
    <row r="11" spans="1:8" x14ac:dyDescent="0.2">
      <c r="A11" s="1">
        <v>8</v>
      </c>
      <c r="B11" t="s">
        <v>158</v>
      </c>
      <c r="C11">
        <v>1</v>
      </c>
      <c r="D11">
        <v>1</v>
      </c>
      <c r="E11">
        <v>49</v>
      </c>
      <c r="F11">
        <v>59</v>
      </c>
      <c r="G11">
        <v>42</v>
      </c>
      <c r="H11">
        <v>80</v>
      </c>
    </row>
    <row r="12" spans="1:8" x14ac:dyDescent="0.2">
      <c r="A12" s="1">
        <v>9</v>
      </c>
      <c r="B12" t="s">
        <v>159</v>
      </c>
      <c r="C12">
        <v>1</v>
      </c>
      <c r="D12">
        <v>1</v>
      </c>
      <c r="E12">
        <v>58</v>
      </c>
      <c r="F12">
        <v>106</v>
      </c>
      <c r="G12">
        <v>67</v>
      </c>
      <c r="H12">
        <v>80</v>
      </c>
    </row>
    <row r="13" spans="1:8" x14ac:dyDescent="0.2">
      <c r="A13" s="1">
        <v>10</v>
      </c>
      <c r="B13" t="s">
        <v>160</v>
      </c>
      <c r="C13">
        <v>1</v>
      </c>
      <c r="D13">
        <v>0</v>
      </c>
      <c r="E13">
        <v>139</v>
      </c>
      <c r="F13">
        <v>101</v>
      </c>
      <c r="G13">
        <v>82</v>
      </c>
      <c r="H13">
        <v>71</v>
      </c>
    </row>
    <row r="14" spans="1:8" x14ac:dyDescent="0.2">
      <c r="A14" s="1">
        <v>11</v>
      </c>
      <c r="B14" t="s">
        <v>161</v>
      </c>
      <c r="C14">
        <v>1</v>
      </c>
      <c r="D14">
        <v>1</v>
      </c>
      <c r="E14">
        <v>101</v>
      </c>
      <c r="F14">
        <v>81</v>
      </c>
      <c r="G14">
        <v>74</v>
      </c>
      <c r="H14">
        <v>136</v>
      </c>
    </row>
    <row r="15" spans="1:8" x14ac:dyDescent="0.2">
      <c r="A15" s="1">
        <v>12</v>
      </c>
      <c r="B15" t="s">
        <v>162</v>
      </c>
      <c r="C15">
        <v>1</v>
      </c>
      <c r="D15">
        <v>1</v>
      </c>
      <c r="E15">
        <v>64</v>
      </c>
      <c r="F15">
        <v>110</v>
      </c>
      <c r="G15">
        <v>58</v>
      </c>
      <c r="H15">
        <v>80</v>
      </c>
    </row>
    <row r="16" spans="1:8" x14ac:dyDescent="0.2">
      <c r="A16" s="1">
        <v>13</v>
      </c>
      <c r="B16" t="s">
        <v>163</v>
      </c>
      <c r="C16">
        <v>1</v>
      </c>
      <c r="D16">
        <v>1</v>
      </c>
      <c r="E16">
        <v>83</v>
      </c>
      <c r="F16">
        <v>43</v>
      </c>
      <c r="G16">
        <v>47</v>
      </c>
      <c r="H16">
        <v>58</v>
      </c>
    </row>
    <row r="17" spans="1:8" x14ac:dyDescent="0.2">
      <c r="A17" s="1">
        <v>14</v>
      </c>
      <c r="B17" t="s">
        <v>164</v>
      </c>
      <c r="C17">
        <v>0</v>
      </c>
      <c r="D17">
        <v>1</v>
      </c>
      <c r="E17">
        <v>28</v>
      </c>
      <c r="F17">
        <v>33</v>
      </c>
      <c r="G17">
        <v>53</v>
      </c>
      <c r="H17">
        <v>36</v>
      </c>
    </row>
    <row r="18" spans="1:8" x14ac:dyDescent="0.2">
      <c r="A18" s="1">
        <v>15</v>
      </c>
      <c r="B18" t="s">
        <v>165</v>
      </c>
      <c r="C18">
        <v>1</v>
      </c>
      <c r="D18">
        <v>1</v>
      </c>
      <c r="E18">
        <v>65</v>
      </c>
      <c r="F18">
        <v>79</v>
      </c>
      <c r="G18">
        <v>56</v>
      </c>
      <c r="H18">
        <v>112</v>
      </c>
    </row>
    <row r="19" spans="1:8" x14ac:dyDescent="0.2">
      <c r="A19" s="1">
        <v>16</v>
      </c>
      <c r="B19" t="s">
        <v>166</v>
      </c>
      <c r="C19">
        <v>0</v>
      </c>
      <c r="D19">
        <v>0</v>
      </c>
      <c r="E19">
        <v>28</v>
      </c>
      <c r="F19">
        <v>36</v>
      </c>
      <c r="G19">
        <v>32</v>
      </c>
      <c r="H19">
        <v>54</v>
      </c>
    </row>
    <row r="20" spans="1:8" x14ac:dyDescent="0.2">
      <c r="A20" s="1">
        <v>17</v>
      </c>
      <c r="B20" t="s">
        <v>167</v>
      </c>
      <c r="C20">
        <v>1</v>
      </c>
      <c r="D20">
        <v>0</v>
      </c>
      <c r="E20">
        <v>167</v>
      </c>
      <c r="F20">
        <v>86</v>
      </c>
      <c r="G20">
        <v>103</v>
      </c>
      <c r="H20">
        <v>119</v>
      </c>
    </row>
    <row r="21" spans="1:8" x14ac:dyDescent="0.2">
      <c r="A21" s="1">
        <v>18</v>
      </c>
      <c r="B21" t="s">
        <v>168</v>
      </c>
      <c r="C21">
        <v>0</v>
      </c>
      <c r="D21">
        <v>0</v>
      </c>
      <c r="E21">
        <v>31</v>
      </c>
      <c r="F21">
        <v>53</v>
      </c>
      <c r="G21">
        <v>27</v>
      </c>
      <c r="H21">
        <v>39</v>
      </c>
    </row>
    <row r="22" spans="1:8" x14ac:dyDescent="0.2">
      <c r="A22" s="1">
        <v>19</v>
      </c>
      <c r="B22" t="s">
        <v>169</v>
      </c>
      <c r="C22">
        <v>1</v>
      </c>
      <c r="D22">
        <v>0</v>
      </c>
      <c r="E22">
        <v>81</v>
      </c>
      <c r="F22">
        <v>73</v>
      </c>
      <c r="G22">
        <v>139</v>
      </c>
      <c r="H22">
        <v>101</v>
      </c>
    </row>
    <row r="23" spans="1:8" x14ac:dyDescent="0.2">
      <c r="A23" s="1">
        <v>20</v>
      </c>
      <c r="B23" t="s">
        <v>170</v>
      </c>
      <c r="C23">
        <v>1</v>
      </c>
      <c r="D23">
        <v>1</v>
      </c>
      <c r="E23">
        <v>79</v>
      </c>
      <c r="F23">
        <v>64</v>
      </c>
      <c r="G23">
        <v>58</v>
      </c>
      <c r="H23">
        <v>112</v>
      </c>
    </row>
    <row r="24" spans="1:8" x14ac:dyDescent="0.2">
      <c r="A24" s="1">
        <v>21</v>
      </c>
      <c r="B24" t="s">
        <v>171</v>
      </c>
      <c r="C24">
        <v>0</v>
      </c>
      <c r="D24">
        <v>1</v>
      </c>
      <c r="E24">
        <v>32</v>
      </c>
      <c r="F24">
        <v>54</v>
      </c>
      <c r="G24">
        <v>36</v>
      </c>
      <c r="H24">
        <v>28</v>
      </c>
    </row>
    <row r="25" spans="1:8" x14ac:dyDescent="0.2">
      <c r="A25" s="1">
        <v>22</v>
      </c>
      <c r="B25" t="s">
        <v>172</v>
      </c>
      <c r="C25">
        <v>1</v>
      </c>
      <c r="D25">
        <v>1</v>
      </c>
      <c r="E25">
        <v>43</v>
      </c>
      <c r="F25">
        <v>47</v>
      </c>
      <c r="G25">
        <v>58</v>
      </c>
      <c r="H25">
        <v>83</v>
      </c>
    </row>
    <row r="26" spans="1:8" x14ac:dyDescent="0.2">
      <c r="A26" s="1">
        <v>23</v>
      </c>
      <c r="B26" t="s">
        <v>173</v>
      </c>
      <c r="C26">
        <v>1</v>
      </c>
      <c r="D26">
        <v>0</v>
      </c>
      <c r="E26">
        <v>59</v>
      </c>
      <c r="F26">
        <v>112</v>
      </c>
      <c r="G26">
        <v>64</v>
      </c>
      <c r="H26">
        <v>77</v>
      </c>
    </row>
    <row r="27" spans="1:8" x14ac:dyDescent="0.2">
      <c r="A27" s="1">
        <v>24</v>
      </c>
      <c r="B27" t="s">
        <v>174</v>
      </c>
      <c r="C27">
        <v>1</v>
      </c>
      <c r="D27">
        <v>0</v>
      </c>
      <c r="E27">
        <v>115</v>
      </c>
      <c r="F27">
        <v>103</v>
      </c>
      <c r="G27">
        <v>167</v>
      </c>
      <c r="H27">
        <v>88</v>
      </c>
    </row>
    <row r="28" spans="1:8" x14ac:dyDescent="0.2">
      <c r="A28" s="1">
        <v>25</v>
      </c>
      <c r="B28" t="s">
        <v>175</v>
      </c>
      <c r="C28">
        <v>1</v>
      </c>
      <c r="D28">
        <v>1</v>
      </c>
      <c r="E28">
        <v>43</v>
      </c>
      <c r="F28">
        <v>49</v>
      </c>
      <c r="G28">
        <v>83</v>
      </c>
      <c r="H28">
        <v>56</v>
      </c>
    </row>
    <row r="29" spans="1:8" x14ac:dyDescent="0.2">
      <c r="A29" s="1">
        <v>26</v>
      </c>
      <c r="B29" t="s">
        <v>176</v>
      </c>
      <c r="C29">
        <v>0</v>
      </c>
      <c r="D29">
        <v>1</v>
      </c>
      <c r="E29">
        <v>54</v>
      </c>
      <c r="F29">
        <v>31</v>
      </c>
      <c r="G29">
        <v>28</v>
      </c>
      <c r="H29">
        <v>38</v>
      </c>
    </row>
    <row r="30" spans="1:8" x14ac:dyDescent="0.2">
      <c r="A30" s="1">
        <v>27</v>
      </c>
      <c r="B30" t="s">
        <v>177</v>
      </c>
      <c r="C30">
        <v>1</v>
      </c>
      <c r="D30">
        <v>1</v>
      </c>
      <c r="E30">
        <v>110</v>
      </c>
      <c r="F30">
        <v>58</v>
      </c>
      <c r="G30">
        <v>64</v>
      </c>
      <c r="H30">
        <v>80</v>
      </c>
    </row>
    <row r="31" spans="1:8" x14ac:dyDescent="0.2">
      <c r="A31" s="1">
        <v>28</v>
      </c>
      <c r="B31" t="s">
        <v>178</v>
      </c>
      <c r="C31">
        <v>1</v>
      </c>
      <c r="D31">
        <v>1</v>
      </c>
      <c r="E31">
        <v>101</v>
      </c>
      <c r="F31">
        <v>86</v>
      </c>
      <c r="G31">
        <v>122</v>
      </c>
      <c r="H31">
        <v>164</v>
      </c>
    </row>
    <row r="32" spans="1:8" x14ac:dyDescent="0.2">
      <c r="A32" s="1">
        <v>29</v>
      </c>
      <c r="B32" t="s">
        <v>179</v>
      </c>
      <c r="C32">
        <v>1</v>
      </c>
      <c r="D32">
        <v>0</v>
      </c>
      <c r="E32">
        <v>112</v>
      </c>
      <c r="F32">
        <v>59</v>
      </c>
      <c r="G32">
        <v>75</v>
      </c>
      <c r="H32">
        <v>65</v>
      </c>
    </row>
    <row r="33" spans="1:8" x14ac:dyDescent="0.2">
      <c r="A33" s="1">
        <v>30</v>
      </c>
      <c r="B33" t="s">
        <v>180</v>
      </c>
      <c r="C33">
        <v>0</v>
      </c>
      <c r="D33">
        <v>1</v>
      </c>
      <c r="E33">
        <v>31</v>
      </c>
      <c r="F33">
        <v>39</v>
      </c>
      <c r="G33">
        <v>28</v>
      </c>
      <c r="H33">
        <v>53</v>
      </c>
    </row>
    <row r="34" spans="1:8" x14ac:dyDescent="0.2">
      <c r="A34" s="1">
        <v>31</v>
      </c>
      <c r="B34" t="s">
        <v>181</v>
      </c>
      <c r="C34">
        <v>0</v>
      </c>
      <c r="D34">
        <v>1</v>
      </c>
      <c r="E34">
        <v>31</v>
      </c>
      <c r="F34">
        <v>28</v>
      </c>
      <c r="G34">
        <v>37</v>
      </c>
      <c r="H34">
        <v>54</v>
      </c>
    </row>
    <row r="35" spans="1:8" x14ac:dyDescent="0.2">
      <c r="A35" s="1">
        <v>32</v>
      </c>
      <c r="B35" t="s">
        <v>182</v>
      </c>
      <c r="C35">
        <v>1</v>
      </c>
      <c r="D35">
        <v>1</v>
      </c>
      <c r="E35">
        <v>49</v>
      </c>
      <c r="F35">
        <v>44</v>
      </c>
      <c r="G35">
        <v>78</v>
      </c>
      <c r="H35">
        <v>57</v>
      </c>
    </row>
    <row r="36" spans="1:8" x14ac:dyDescent="0.2">
      <c r="A36" s="1">
        <v>33</v>
      </c>
      <c r="B36" t="s">
        <v>183</v>
      </c>
      <c r="C36">
        <v>0</v>
      </c>
      <c r="D36">
        <v>0</v>
      </c>
      <c r="E36">
        <v>53</v>
      </c>
      <c r="F36">
        <v>28</v>
      </c>
      <c r="G36">
        <v>36</v>
      </c>
      <c r="H36">
        <v>33</v>
      </c>
    </row>
    <row r="37" spans="1:8" x14ac:dyDescent="0.2">
      <c r="A37" s="1">
        <v>34</v>
      </c>
      <c r="B37" t="s">
        <v>184</v>
      </c>
      <c r="C37">
        <v>1</v>
      </c>
      <c r="D37">
        <v>1</v>
      </c>
      <c r="E37">
        <v>101</v>
      </c>
      <c r="F37">
        <v>84</v>
      </c>
      <c r="G37">
        <v>71</v>
      </c>
      <c r="H37">
        <v>136</v>
      </c>
    </row>
    <row r="38" spans="1:8" x14ac:dyDescent="0.2">
      <c r="A38" s="1">
        <v>35</v>
      </c>
      <c r="B38" t="s">
        <v>185</v>
      </c>
      <c r="C38">
        <v>1</v>
      </c>
      <c r="D38">
        <v>1</v>
      </c>
      <c r="E38">
        <v>59</v>
      </c>
      <c r="F38">
        <v>82</v>
      </c>
      <c r="G38">
        <v>48</v>
      </c>
      <c r="H38">
        <v>42</v>
      </c>
    </row>
    <row r="39" spans="1:8" x14ac:dyDescent="0.2">
      <c r="A39" s="1">
        <v>36</v>
      </c>
      <c r="B39" t="s">
        <v>186</v>
      </c>
      <c r="C39">
        <v>1</v>
      </c>
      <c r="D39">
        <v>1</v>
      </c>
      <c r="E39">
        <v>67</v>
      </c>
      <c r="F39">
        <v>77</v>
      </c>
      <c r="G39">
        <v>112</v>
      </c>
      <c r="H39">
        <v>56</v>
      </c>
    </row>
    <row r="40" spans="1:8" x14ac:dyDescent="0.2">
      <c r="A40" s="1">
        <v>37</v>
      </c>
      <c r="B40" t="s">
        <v>187</v>
      </c>
      <c r="C40">
        <v>1</v>
      </c>
      <c r="D40">
        <v>1</v>
      </c>
      <c r="E40">
        <v>49</v>
      </c>
      <c r="F40">
        <v>43</v>
      </c>
      <c r="G40">
        <v>56</v>
      </c>
      <c r="H40">
        <v>83</v>
      </c>
    </row>
    <row r="41" spans="1:8" x14ac:dyDescent="0.2">
      <c r="A41" s="1">
        <v>38</v>
      </c>
      <c r="B41" t="s">
        <v>188</v>
      </c>
      <c r="C41">
        <v>1</v>
      </c>
      <c r="D41">
        <v>1</v>
      </c>
      <c r="E41">
        <v>83</v>
      </c>
      <c r="F41">
        <v>49</v>
      </c>
      <c r="G41">
        <v>57</v>
      </c>
      <c r="H41">
        <v>42</v>
      </c>
    </row>
    <row r="42" spans="1:8" x14ac:dyDescent="0.2">
      <c r="A42" s="1">
        <v>39</v>
      </c>
      <c r="B42" t="s">
        <v>189</v>
      </c>
      <c r="C42">
        <v>0</v>
      </c>
      <c r="D42">
        <v>1</v>
      </c>
      <c r="E42">
        <v>27</v>
      </c>
      <c r="F42">
        <v>33</v>
      </c>
      <c r="G42">
        <v>53</v>
      </c>
      <c r="H42">
        <v>37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BD67E-9F1F-4685-9756-BDFA8E65CAC4}">
  <sheetPr codeName="Sheet9"/>
  <dimension ref="A1:F52"/>
  <sheetViews>
    <sheetView workbookViewId="0">
      <selection activeCell="I34" sqref="I34"/>
    </sheetView>
  </sheetViews>
  <sheetFormatPr defaultRowHeight="14.25" x14ac:dyDescent="0.2"/>
  <cols>
    <col min="1" max="16384" width="9" style="38"/>
  </cols>
  <sheetData>
    <row r="1" spans="1:6" x14ac:dyDescent="0.2">
      <c r="A1" s="37" t="s">
        <v>53</v>
      </c>
      <c r="B1" s="37" t="s">
        <v>54</v>
      </c>
      <c r="C1" s="37" t="s">
        <v>2</v>
      </c>
      <c r="D1" s="37" t="s">
        <v>4</v>
      </c>
      <c r="E1" s="37" t="s">
        <v>3</v>
      </c>
      <c r="F1" s="37" t="s">
        <v>20</v>
      </c>
    </row>
    <row r="2" spans="1:6" x14ac:dyDescent="0.2">
      <c r="A2" s="38">
        <v>0</v>
      </c>
      <c r="B2" s="38">
        <v>0</v>
      </c>
      <c r="C2" s="38">
        <v>0</v>
      </c>
      <c r="D2" s="38">
        <v>0</v>
      </c>
      <c r="E2" s="38">
        <v>0</v>
      </c>
      <c r="F2" s="38">
        <v>0</v>
      </c>
    </row>
    <row r="3" spans="1:6" x14ac:dyDescent="0.2">
      <c r="A3" s="38">
        <v>1</v>
      </c>
      <c r="B3" s="38">
        <v>100</v>
      </c>
      <c r="C3" s="38">
        <v>345</v>
      </c>
      <c r="D3" s="38">
        <v>262</v>
      </c>
      <c r="E3" s="38">
        <v>2</v>
      </c>
      <c r="F3" s="38">
        <v>112.81809279259178</v>
      </c>
    </row>
    <row r="4" spans="1:6" x14ac:dyDescent="0.2">
      <c r="A4" s="38">
        <v>2</v>
      </c>
      <c r="B4" s="38">
        <v>101.5</v>
      </c>
      <c r="C4" s="38">
        <v>975.80735803743551</v>
      </c>
      <c r="D4" s="38">
        <v>715.80509453930324</v>
      </c>
      <c r="E4" s="38">
        <v>2.5</v>
      </c>
      <c r="F4" s="38">
        <v>471.25190594706748</v>
      </c>
    </row>
    <row r="5" spans="1:6" x14ac:dyDescent="0.2">
      <c r="A5" s="38">
        <v>3</v>
      </c>
      <c r="B5" s="38">
        <v>103</v>
      </c>
      <c r="C5" s="38">
        <v>1792.6725858337882</v>
      </c>
      <c r="D5" s="38">
        <v>1288.6266557724744</v>
      </c>
      <c r="E5" s="38">
        <v>3</v>
      </c>
      <c r="F5" s="38">
        <v>1087.5302391347113</v>
      </c>
    </row>
    <row r="6" spans="1:6" x14ac:dyDescent="0.2">
      <c r="A6" s="38">
        <v>4</v>
      </c>
      <c r="B6" s="38">
        <v>104.5</v>
      </c>
      <c r="C6" s="38">
        <v>2759.9999999999995</v>
      </c>
      <c r="D6" s="38">
        <v>1955.6371502611478</v>
      </c>
      <c r="E6" s="38">
        <v>3.5</v>
      </c>
      <c r="F6" s="38">
        <v>1968.4640411978871</v>
      </c>
    </row>
    <row r="7" spans="1:6" x14ac:dyDescent="0.2">
      <c r="A7" s="38">
        <v>5</v>
      </c>
      <c r="B7" s="38">
        <v>106</v>
      </c>
      <c r="C7" s="38">
        <v>3857.217261187136</v>
      </c>
      <c r="D7" s="38">
        <v>2702.7619586618403</v>
      </c>
      <c r="E7" s="38">
        <v>4</v>
      </c>
      <c r="F7" s="38">
        <v>3118.921093687522</v>
      </c>
    </row>
    <row r="8" spans="1:6" x14ac:dyDescent="0.2">
      <c r="A8" s="38">
        <v>6</v>
      </c>
      <c r="B8" s="38">
        <v>107.5</v>
      </c>
      <c r="C8" s="38">
        <v>5070.4437675611798</v>
      </c>
      <c r="D8" s="38">
        <v>3520.6317754239776</v>
      </c>
      <c r="E8" s="38">
        <v>4.5</v>
      </c>
      <c r="F8" s="38">
        <v>4542.7172653015768</v>
      </c>
    </row>
    <row r="9" spans="1:6" x14ac:dyDescent="0.2">
      <c r="A9" s="38">
        <v>7</v>
      </c>
      <c r="B9" s="38">
        <v>109</v>
      </c>
      <c r="C9" s="38">
        <v>6389.4894162209848</v>
      </c>
      <c r="D9" s="38">
        <v>4402.4400362493061</v>
      </c>
      <c r="E9" s="38">
        <v>5</v>
      </c>
      <c r="F9" s="38">
        <v>6243.0018146156435</v>
      </c>
    </row>
    <row r="10" spans="1:6" x14ac:dyDescent="0.2">
      <c r="A10" s="38">
        <v>8</v>
      </c>
      <c r="B10" s="38">
        <v>110.5</v>
      </c>
      <c r="C10" s="38">
        <v>7806.4588642994804</v>
      </c>
      <c r="D10" s="38">
        <v>5342.9581497223444</v>
      </c>
      <c r="E10" s="38">
        <v>5.5</v>
      </c>
      <c r="F10" s="38">
        <v>8222.4615594962743</v>
      </c>
    </row>
    <row r="11" spans="1:6" x14ac:dyDescent="0.2">
      <c r="A11" s="38">
        <v>9</v>
      </c>
      <c r="B11" s="38">
        <v>112</v>
      </c>
      <c r="C11" s="38">
        <v>9315</v>
      </c>
      <c r="D11" s="38">
        <v>6338.0101449135536</v>
      </c>
      <c r="E11" s="38">
        <v>6</v>
      </c>
      <c r="F11" s="38">
        <v>10483.442786138514</v>
      </c>
    </row>
    <row r="12" spans="1:6" x14ac:dyDescent="0.2">
      <c r="A12" s="38">
        <v>10</v>
      </c>
      <c r="B12" s="38">
        <v>113.5</v>
      </c>
      <c r="C12" s="38">
        <v>10909.857927580912</v>
      </c>
      <c r="D12" s="38">
        <v>7384.1632799128711</v>
      </c>
      <c r="E12" s="38">
        <v>6.5</v>
      </c>
      <c r="F12" s="38">
        <v>13028.030110390864</v>
      </c>
    </row>
    <row r="13" spans="1:6" x14ac:dyDescent="0.2">
      <c r="A13" s="38">
        <v>11</v>
      </c>
      <c r="B13" s="38">
        <v>115</v>
      </c>
      <c r="C13" s="38">
        <v>12586.591079398746</v>
      </c>
      <c r="D13" s="38">
        <v>8478.5324131262605</v>
      </c>
      <c r="E13" s="38">
        <v>7</v>
      </c>
      <c r="F13" s="38">
        <v>15858.100533908917</v>
      </c>
    </row>
    <row r="14" spans="1:6" x14ac:dyDescent="0.2">
      <c r="A14" s="38">
        <v>12</v>
      </c>
      <c r="B14" s="38">
        <v>116.5</v>
      </c>
      <c r="C14" s="38">
        <v>14341.380686670309</v>
      </c>
      <c r="D14" s="38">
        <v>9618.6494688757084</v>
      </c>
      <c r="E14" s="38">
        <v>7.5</v>
      </c>
      <c r="F14" s="38">
        <v>18975.36216453922</v>
      </c>
    </row>
    <row r="15" spans="1:6" x14ac:dyDescent="0.2">
      <c r="A15" s="38">
        <v>13</v>
      </c>
      <c r="B15" s="38">
        <v>118</v>
      </c>
      <c r="C15" s="38">
        <v>16170.897470455995</v>
      </c>
      <c r="D15" s="38">
        <v>10802.372577423965</v>
      </c>
      <c r="E15" s="38">
        <v>8</v>
      </c>
      <c r="F15" s="38">
        <v>22381.382929729785</v>
      </c>
    </row>
    <row r="16" spans="1:6" x14ac:dyDescent="0.2">
      <c r="A16" s="38">
        <v>14</v>
      </c>
      <c r="B16" s="38">
        <v>119.5</v>
      </c>
      <c r="C16" s="38">
        <v>18072.205178118125</v>
      </c>
      <c r="D16" s="38">
        <v>12027.820634927661</v>
      </c>
      <c r="E16" s="38">
        <v>8.5</v>
      </c>
      <c r="F16" s="38">
        <v>26077.612474599526</v>
      </c>
    </row>
    <row r="17" spans="1:6" x14ac:dyDescent="0.2">
      <c r="A17" s="38">
        <v>15</v>
      </c>
      <c r="B17" s="38">
        <v>121</v>
      </c>
      <c r="C17" s="38">
        <v>20042.688816623377</v>
      </c>
      <c r="D17" s="38">
        <v>13293.324824959805</v>
      </c>
      <c r="E17" s="38">
        <v>9</v>
      </c>
      <c r="F17" s="38">
        <v>30065.399253789001</v>
      </c>
    </row>
    <row r="18" spans="1:6" x14ac:dyDescent="0.2">
      <c r="A18" s="38">
        <v>16</v>
      </c>
      <c r="B18" s="38">
        <v>122.5</v>
      </c>
      <c r="C18" s="38">
        <v>22079.999999999993</v>
      </c>
      <c r="D18" s="38">
        <v>14597.391845349404</v>
      </c>
      <c r="E18" s="38">
        <v>9.5</v>
      </c>
      <c r="F18" s="38">
        <v>34346.00413439676</v>
      </c>
    </row>
    <row r="19" spans="1:6" x14ac:dyDescent="0.2">
      <c r="A19" s="38">
        <v>17</v>
      </c>
      <c r="B19" s="38">
        <v>124</v>
      </c>
      <c r="C19" s="38">
        <v>24182.014494247593</v>
      </c>
      <c r="D19" s="38">
        <v>15938.675445792358</v>
      </c>
      <c r="E19" s="38">
        <v>10</v>
      </c>
      <c r="F19" s="38">
        <v>38920.61140356469</v>
      </c>
    </row>
    <row r="20" spans="1:6" x14ac:dyDescent="0.2">
      <c r="A20" s="38">
        <v>18</v>
      </c>
      <c r="B20" s="38">
        <v>125.5</v>
      </c>
      <c r="C20" s="38">
        <v>26346.798667010742</v>
      </c>
      <c r="D20" s="38">
        <v>17315.954011339334</v>
      </c>
      <c r="E20" s="38">
        <v>10.5</v>
      </c>
      <c r="F20" s="38">
        <v>43790.337804569019</v>
      </c>
    </row>
    <row r="21" spans="1:6" x14ac:dyDescent="0.2">
      <c r="A21" s="38">
        <v>19</v>
      </c>
      <c r="B21" s="38">
        <v>127</v>
      </c>
      <c r="C21" s="38">
        <v>28572.582574909105</v>
      </c>
      <c r="D21" s="38">
        <v>18728.112637678991</v>
      </c>
      <c r="E21" s="38">
        <v>11</v>
      </c>
      <c r="F21" s="38">
        <v>48956.240047900341</v>
      </c>
    </row>
    <row r="22" spans="1:6" x14ac:dyDescent="0.2">
      <c r="A22" s="38">
        <v>20</v>
      </c>
      <c r="B22" s="38">
        <v>128.5</v>
      </c>
      <c r="C22" s="38">
        <v>30857.738089497099</v>
      </c>
      <c r="D22" s="38">
        <v>20174.128605617112</v>
      </c>
      <c r="E22" s="38">
        <v>11.5</v>
      </c>
      <c r="F22" s="38">
        <v>54419.32112382444</v>
      </c>
    </row>
    <row r="23" spans="1:6" x14ac:dyDescent="0.2">
      <c r="A23" s="38">
        <v>21</v>
      </c>
      <c r="B23" s="38">
        <v>130</v>
      </c>
      <c r="C23" s="38">
        <v>33200.760909955068</v>
      </c>
      <c r="D23" s="38">
        <v>21653.059470041204</v>
      </c>
      <c r="E23" s="38">
        <v>12</v>
      </c>
      <c r="F23" s="38">
        <v>60180.535659730755</v>
      </c>
    </row>
    <row r="24" spans="1:6" x14ac:dyDescent="0.2">
      <c r="A24" s="38">
        <v>22</v>
      </c>
      <c r="B24" s="38">
        <v>131.5</v>
      </c>
      <c r="C24" s="38">
        <v>35600.25561705984</v>
      </c>
      <c r="D24" s="38">
        <v>23164.033189054935</v>
      </c>
      <c r="E24" s="38">
        <v>12.5</v>
      </c>
      <c r="F24" s="38">
        <v>66240.794506637045</v>
      </c>
    </row>
    <row r="25" spans="1:6" x14ac:dyDescent="0.2">
      <c r="A25" s="38">
        <v>23</v>
      </c>
      <c r="B25" s="38">
        <v>133</v>
      </c>
      <c r="C25" s="38">
        <v>38054.923137486425</v>
      </c>
      <c r="D25" s="38">
        <v>24706.239865828604</v>
      </c>
      <c r="E25" s="38">
        <v>13</v>
      </c>
      <c r="F25" s="38">
        <v>72600.968696657394</v>
      </c>
    </row>
    <row r="26" spans="1:6" x14ac:dyDescent="0.2">
      <c r="A26" s="38">
        <v>24</v>
      </c>
      <c r="B26" s="38">
        <v>134.5</v>
      </c>
      <c r="C26" s="38">
        <v>40563.550140489446</v>
      </c>
      <c r="D26" s="38">
        <v>26278.924780187008</v>
      </c>
      <c r="E26" s="38">
        <v>13.5</v>
      </c>
      <c r="F26" s="38">
        <v>79261.892881973516</v>
      </c>
    </row>
    <row r="27" spans="1:6" x14ac:dyDescent="0.2">
      <c r="A27" s="38">
        <v>25</v>
      </c>
      <c r="B27" s="38">
        <v>136</v>
      </c>
      <c r="C27" s="38">
        <v>43124.999999999978</v>
      </c>
      <c r="D27" s="38">
        <v>27881.382462555684</v>
      </c>
      <c r="E27" s="38">
        <v>14</v>
      </c>
      <c r="F27" s="38">
        <v>86224.368342519374</v>
      </c>
    </row>
    <row r="28" spans="1:6" x14ac:dyDescent="0.2">
      <c r="A28" s="38">
        <v>26</v>
      </c>
      <c r="B28" s="38">
        <v>137.5</v>
      </c>
      <c r="C28" s="38">
        <v>45738.205036927298</v>
      </c>
      <c r="D28" s="38">
        <v>29512.951618441741</v>
      </c>
      <c r="E28" s="38">
        <v>14.5</v>
      </c>
      <c r="F28" s="38">
        <v>93489.165631941287</v>
      </c>
    </row>
    <row r="29" spans="1:6" x14ac:dyDescent="0.2">
      <c r="A29" s="38">
        <v>27</v>
      </c>
      <c r="B29" s="38">
        <v>139</v>
      </c>
      <c r="C29" s="38">
        <v>48402.159817512278</v>
      </c>
      <c r="D29" s="38">
        <v>31173.010753022765</v>
      </c>
      <c r="E29" s="38">
        <v>15</v>
      </c>
      <c r="F29" s="38">
        <v>101057.02691787516</v>
      </c>
    </row>
    <row r="30" spans="1:6" x14ac:dyDescent="0.2">
      <c r="A30" s="38">
        <v>28</v>
      </c>
      <c r="B30" s="38">
        <v>140.5</v>
      </c>
      <c r="C30" s="38">
        <v>51115.915329767864</v>
      </c>
      <c r="D30" s="38">
        <v>32860.974376664788</v>
      </c>
      <c r="E30" s="38">
        <v>15.5</v>
      </c>
      <c r="F30" s="38">
        <v>108928.66806210545</v>
      </c>
    </row>
    <row r="31" spans="1:6" x14ac:dyDescent="0.2">
      <c r="A31" s="38">
        <v>29</v>
      </c>
      <c r="B31" s="38">
        <v>142</v>
      </c>
      <c r="C31" s="38">
        <v>53878.573895380709</v>
      </c>
      <c r="D31" s="38">
        <v>34576.289696050408</v>
      </c>
      <c r="E31" s="38">
        <v>16</v>
      </c>
      <c r="F31" s="38">
        <v>117104.78047795597</v>
      </c>
    </row>
    <row r="32" spans="1:6" x14ac:dyDescent="0.2">
      <c r="A32" s="38">
        <v>30</v>
      </c>
      <c r="B32" s="38">
        <v>143.5</v>
      </c>
      <c r="C32" s="38">
        <v>56689.28470178468</v>
      </c>
      <c r="D32" s="38">
        <v>36318.433714015351</v>
      </c>
      <c r="E32" s="38">
        <v>16.5</v>
      </c>
      <c r="F32" s="38">
        <v>125586.03279577839</v>
      </c>
    </row>
    <row r="33" spans="1:6" x14ac:dyDescent="0.2">
      <c r="A33" s="38">
        <v>31</v>
      </c>
      <c r="B33" s="38">
        <v>145</v>
      </c>
      <c r="C33" s="38">
        <v>59547.239860467111</v>
      </c>
      <c r="D33" s="38">
        <v>38086.910675551844</v>
      </c>
      <c r="E33" s="38">
        <v>17</v>
      </c>
      <c r="F33" s="38">
        <v>134373.07236221939</v>
      </c>
    </row>
    <row r="34" spans="1:6" x14ac:dyDescent="0.2">
      <c r="A34" s="38">
        <v>32</v>
      </c>
      <c r="B34" s="38">
        <v>146.5</v>
      </c>
      <c r="C34" s="38">
        <v>62451.670914395865</v>
      </c>
      <c r="D34" s="38">
        <v>39881.249808731263</v>
      </c>
      <c r="E34" s="38">
        <v>17.5</v>
      </c>
      <c r="F34" s="38">
        <v>143466.52659477643</v>
      </c>
    </row>
    <row r="35" spans="1:6" x14ac:dyDescent="0.2">
      <c r="A35" s="38">
        <v>33</v>
      </c>
      <c r="B35" s="38">
        <v>148</v>
      </c>
      <c r="C35" s="38">
        <v>65401.84573083547</v>
      </c>
      <c r="D35" s="38">
        <v>41701.003318264964</v>
      </c>
      <c r="E35" s="38">
        <v>18</v>
      </c>
      <c r="F35" s="38">
        <v>152867.0042097781</v>
      </c>
    </row>
    <row r="36" spans="1:6" x14ac:dyDescent="0.2">
      <c r="A36" s="38">
        <v>34</v>
      </c>
      <c r="B36" s="38">
        <v>149.5</v>
      </c>
      <c r="C36" s="38">
        <v>68397.065726535366</v>
      </c>
      <c r="D36" s="38">
        <v>43545.744596590332</v>
      </c>
      <c r="E36" s="38">
        <v>18.5</v>
      </c>
      <c r="F36" s="38">
        <v>162575.09633915219</v>
      </c>
    </row>
    <row r="37" spans="1:6" x14ac:dyDescent="0.2">
      <c r="A37" s="38">
        <v>35</v>
      </c>
      <c r="B37" s="38">
        <v>151</v>
      </c>
      <c r="C37" s="38">
        <v>71436.663380927857</v>
      </c>
      <c r="D37" s="38">
        <v>45415.066623146871</v>
      </c>
      <c r="E37" s="38">
        <v>19</v>
      </c>
      <c r="F37" s="38">
        <v>172591.37754908734</v>
      </c>
    </row>
    <row r="38" spans="1:6" x14ac:dyDescent="0.2">
      <c r="A38" s="38">
        <v>36</v>
      </c>
      <c r="B38" s="38">
        <v>152.5</v>
      </c>
      <c r="C38" s="38">
        <v>74520.000000000015</v>
      </c>
      <c r="D38" s="38">
        <v>47308.580527194608</v>
      </c>
      <c r="E38" s="38">
        <v>19.5</v>
      </c>
      <c r="F38" s="38">
        <v>182916.40677180589</v>
      </c>
    </row>
    <row r="39" spans="1:6" x14ac:dyDescent="0.2">
      <c r="A39" s="38">
        <v>37</v>
      </c>
      <c r="B39" s="38">
        <v>154</v>
      </c>
      <c r="C39" s="38">
        <v>77646.463699256783</v>
      </c>
      <c r="D39" s="38">
        <v>49225.914293354996</v>
      </c>
      <c r="E39" s="38">
        <v>20</v>
      </c>
      <c r="F39" s="38">
        <v>193550.72816009878</v>
      </c>
    </row>
    <row r="40" spans="1:6" x14ac:dyDescent="0.2">
      <c r="A40" s="38">
        <v>38</v>
      </c>
      <c r="B40" s="38">
        <v>155.5</v>
      </c>
      <c r="C40" s="38">
        <v>80815.467578923272</v>
      </c>
      <c r="D40" s="38">
        <v>51166.711592200481</v>
      </c>
      <c r="E40" s="38">
        <v>20.5</v>
      </c>
      <c r="F40" s="38">
        <v>204494.87187298137</v>
      </c>
    </row>
    <row r="41" spans="1:6" x14ac:dyDescent="0.2">
      <c r="A41" s="38">
        <v>39</v>
      </c>
      <c r="B41" s="38">
        <v>157</v>
      </c>
      <c r="C41" s="38">
        <v>84026.448068450394</v>
      </c>
      <c r="D41" s="38">
        <v>53130.630720817244</v>
      </c>
      <c r="E41" s="38">
        <v>21</v>
      </c>
      <c r="F41" s="38">
        <v>215749.35479970201</v>
      </c>
    </row>
    <row r="42" spans="1:6" x14ac:dyDescent="0.2">
      <c r="A42" s="38">
        <v>40</v>
      </c>
      <c r="B42" s="38">
        <v>158.5</v>
      </c>
      <c r="C42" s="38">
        <v>87278.863420647293</v>
      </c>
      <c r="D42" s="38">
        <v>55117.34364042677</v>
      </c>
      <c r="E42" s="38">
        <v>21.5</v>
      </c>
      <c r="F42" s="38">
        <v>227314.68122843292</v>
      </c>
    </row>
    <row r="43" spans="1:6" x14ac:dyDescent="0.2">
      <c r="A43" s="38">
        <v>41</v>
      </c>
      <c r="B43" s="38">
        <v>160</v>
      </c>
      <c r="C43" s="38">
        <v>90572.192338487628</v>
      </c>
      <c r="D43" s="38">
        <v>57126.535099954206</v>
      </c>
      <c r="E43" s="38">
        <v>22</v>
      </c>
      <c r="F43" s="38">
        <v>239191.3434651522</v>
      </c>
    </row>
    <row r="44" spans="1:6" x14ac:dyDescent="0.2">
      <c r="A44" s="38">
        <v>42</v>
      </c>
      <c r="B44" s="38">
        <v>161.5</v>
      </c>
      <c r="C44" s="38">
        <v>93905.93271992993</v>
      </c>
      <c r="D44" s="38">
        <v>59157.901835946541</v>
      </c>
      <c r="E44" s="38">
        <v>22.5</v>
      </c>
      <c r="F44" s="38">
        <v>251379.82240757966</v>
      </c>
    </row>
    <row r="45" spans="1:6" x14ac:dyDescent="0.2">
      <c r="A45" s="38">
        <v>43</v>
      </c>
      <c r="B45" s="38">
        <v>163</v>
      </c>
      <c r="C45" s="38">
        <v>97279.600508020201</v>
      </c>
      <c r="D45" s="38">
        <v>61211.151840518927</v>
      </c>
      <c r="E45" s="38">
        <v>23</v>
      </c>
      <c r="F45" s="38">
        <v>263880.58807843289</v>
      </c>
    </row>
    <row r="46" spans="1:6" x14ac:dyDescent="0.2">
      <c r="A46" s="38">
        <v>44</v>
      </c>
      <c r="B46" s="38">
        <v>164.5</v>
      </c>
      <c r="C46" s="38">
        <v>100692.72863518991</v>
      </c>
      <c r="D46" s="38">
        <v>63286.003690087811</v>
      </c>
      <c r="E46" s="38">
        <v>23.5</v>
      </c>
      <c r="F46" s="38">
        <v>276694.1001217718</v>
      </c>
    </row>
    <row r="47" spans="1:6" x14ac:dyDescent="0.2">
      <c r="A47" s="38">
        <v>45</v>
      </c>
      <c r="B47" s="38">
        <v>166</v>
      </c>
      <c r="C47" s="38">
        <v>104144.86605205269</v>
      </c>
      <c r="D47" s="38">
        <v>65382.185928569321</v>
      </c>
      <c r="E47" s="38">
        <v>24</v>
      </c>
      <c r="F47" s="38">
        <v>289820.808265789</v>
      </c>
    </row>
    <row r="48" spans="1:6" x14ac:dyDescent="0.2">
      <c r="A48" s="38">
        <v>46</v>
      </c>
      <c r="B48" s="38">
        <v>167.5</v>
      </c>
      <c r="C48" s="38">
        <v>107635.57683219803</v>
      </c>
      <c r="D48" s="38">
        <v>67499.436499504416</v>
      </c>
      <c r="E48" s="38">
        <v>24.5</v>
      </c>
      <c r="F48" s="38">
        <v>303261.15275501029</v>
      </c>
    </row>
    <row r="49" spans="1:6" x14ac:dyDescent="0.2">
      <c r="A49" s="38">
        <v>47</v>
      </c>
      <c r="B49" s="38">
        <v>169</v>
      </c>
      <c r="C49" s="38">
        <v>111164.43934550285</v>
      </c>
      <c r="D49" s="38">
        <v>69637.502222244817</v>
      </c>
      <c r="E49" s="38">
        <v>25</v>
      </c>
      <c r="F49" s="38">
        <v>317015.56475456106</v>
      </c>
    </row>
    <row r="50" spans="1:6" x14ac:dyDescent="0.2">
      <c r="A50" s="38">
        <v>48</v>
      </c>
      <c r="B50" s="38">
        <v>170.5</v>
      </c>
      <c r="C50" s="38">
        <v>114731.0454933625</v>
      </c>
      <c r="D50" s="38">
        <v>71796.138307912188</v>
      </c>
      <c r="E50" s="38">
        <v>25.5</v>
      </c>
      <c r="F50" s="38">
        <v>331084.46672886005</v>
      </c>
    </row>
    <row r="51" spans="1:6" x14ac:dyDescent="0.2">
      <c r="A51" s="38">
        <v>49</v>
      </c>
      <c r="B51" s="38">
        <v>172</v>
      </c>
      <c r="C51" s="38">
        <v>118334.99999999994</v>
      </c>
      <c r="D51" s="38">
        <v>73975.107911338913</v>
      </c>
      <c r="E51" s="38">
        <v>26</v>
      </c>
      <c r="F51" s="38">
        <v>345468.27279687446</v>
      </c>
    </row>
    <row r="52" spans="1:6" x14ac:dyDescent="0.2">
      <c r="A52" s="38">
        <v>50</v>
      </c>
      <c r="B52" s="38">
        <v>173.5</v>
      </c>
      <c r="C52" s="38">
        <v>121975.91975467939</v>
      </c>
      <c r="D52" s="38">
        <v>76174.181715634113</v>
      </c>
      <c r="E52" s="38">
        <v>26.5</v>
      </c>
      <c r="F52" s="38">
        <v>360167.38906582916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F1F62-D4E5-4BCB-B4E2-AE1A65D1571A}">
  <sheetPr codeName="Sheet3"/>
  <dimension ref="A1:J36"/>
  <sheetViews>
    <sheetView workbookViewId="0">
      <selection activeCell="C32" sqref="C32"/>
    </sheetView>
  </sheetViews>
  <sheetFormatPr defaultRowHeight="14.25" x14ac:dyDescent="0.2"/>
  <sheetData>
    <row r="1" spans="1:3" x14ac:dyDescent="0.2">
      <c r="A1" s="4"/>
      <c r="B1" s="5"/>
      <c r="C1" s="6"/>
    </row>
    <row r="2" spans="1:3" x14ac:dyDescent="0.2">
      <c r="A2" s="81" t="s">
        <v>205</v>
      </c>
      <c r="B2" s="81"/>
      <c r="C2" s="81"/>
    </row>
    <row r="3" spans="1:3" x14ac:dyDescent="0.2">
      <c r="A3" s="2" t="s">
        <v>191</v>
      </c>
      <c r="B3" s="3" t="s">
        <v>4</v>
      </c>
      <c r="C3" s="28">
        <v>8.433734939759036E-4</v>
      </c>
    </row>
    <row r="4" spans="1:3" x14ac:dyDescent="0.2">
      <c r="A4" s="2" t="s">
        <v>192</v>
      </c>
      <c r="B4" s="3" t="s">
        <v>8</v>
      </c>
      <c r="C4" s="28">
        <v>8.433734939759036E-4</v>
      </c>
    </row>
    <row r="5" spans="1:3" x14ac:dyDescent="0.2">
      <c r="A5" s="2" t="s">
        <v>193</v>
      </c>
      <c r="B5" s="3" t="s">
        <v>3</v>
      </c>
      <c r="C5" s="28">
        <v>8.433734939759036E-4</v>
      </c>
    </row>
    <row r="6" spans="1:3" x14ac:dyDescent="0.2">
      <c r="A6" s="2" t="s">
        <v>194</v>
      </c>
      <c r="B6" s="3" t="s">
        <v>9</v>
      </c>
      <c r="C6" s="28">
        <v>8.433734939759036E-4</v>
      </c>
    </row>
    <row r="8" spans="1:3" x14ac:dyDescent="0.2">
      <c r="A8" s="31"/>
      <c r="B8" s="32"/>
    </row>
    <row r="9" spans="1:3" x14ac:dyDescent="0.2">
      <c r="A9" s="32"/>
      <c r="B9" s="32"/>
    </row>
    <row r="10" spans="1:3" x14ac:dyDescent="0.2">
      <c r="A10" s="32"/>
      <c r="B10" s="32"/>
    </row>
    <row r="11" spans="1:3" x14ac:dyDescent="0.2">
      <c r="A11" s="32"/>
      <c r="B11" s="32"/>
    </row>
    <row r="13" spans="1:3" x14ac:dyDescent="0.2">
      <c r="A13" t="s">
        <v>36</v>
      </c>
      <c r="B13">
        <v>50</v>
      </c>
    </row>
    <row r="15" spans="1:3" x14ac:dyDescent="0.2">
      <c r="A15" t="s">
        <v>28</v>
      </c>
      <c r="B15">
        <v>0.95</v>
      </c>
    </row>
    <row r="17" spans="1:10" x14ac:dyDescent="0.2">
      <c r="A17" t="s">
        <v>37</v>
      </c>
      <c r="B17" t="s">
        <v>31</v>
      </c>
      <c r="C17" t="s">
        <v>32</v>
      </c>
      <c r="D17" t="s">
        <v>33</v>
      </c>
      <c r="E17" t="s">
        <v>34</v>
      </c>
      <c r="F17" t="s">
        <v>35</v>
      </c>
    </row>
    <row r="18" spans="1:10" x14ac:dyDescent="0.2">
      <c r="A18">
        <v>1</v>
      </c>
      <c r="B18">
        <v>0.5</v>
      </c>
      <c r="C18">
        <v>0.4</v>
      </c>
      <c r="D18">
        <v>0.4</v>
      </c>
      <c r="E18">
        <v>0.35</v>
      </c>
      <c r="F18">
        <v>0.3</v>
      </c>
    </row>
    <row r="19" spans="1:10" x14ac:dyDescent="0.2">
      <c r="A19" s="9">
        <v>2</v>
      </c>
      <c r="B19">
        <v>0.5</v>
      </c>
      <c r="C19">
        <v>0.4</v>
      </c>
      <c r="D19">
        <v>0.4</v>
      </c>
      <c r="E19">
        <v>0.35</v>
      </c>
      <c r="F19">
        <v>0.3</v>
      </c>
    </row>
    <row r="20" spans="1:10" x14ac:dyDescent="0.2">
      <c r="A20">
        <v>3</v>
      </c>
      <c r="B20">
        <v>0.5</v>
      </c>
      <c r="C20">
        <v>0.4</v>
      </c>
      <c r="D20">
        <v>0.4</v>
      </c>
      <c r="E20">
        <v>0.35</v>
      </c>
      <c r="F20">
        <v>0.3</v>
      </c>
      <c r="G20" s="9"/>
      <c r="J20" s="9"/>
    </row>
    <row r="21" spans="1:10" x14ac:dyDescent="0.2">
      <c r="A21" s="9">
        <v>4</v>
      </c>
      <c r="B21">
        <v>0.6</v>
      </c>
      <c r="C21">
        <v>0.5</v>
      </c>
      <c r="D21" s="9">
        <v>0.44</v>
      </c>
      <c r="E21">
        <v>0.39</v>
      </c>
      <c r="F21">
        <v>0.34</v>
      </c>
      <c r="G21" s="9"/>
    </row>
    <row r="22" spans="1:10" x14ac:dyDescent="0.2">
      <c r="A22">
        <v>5</v>
      </c>
      <c r="B22">
        <v>0.6</v>
      </c>
      <c r="C22">
        <v>0.5</v>
      </c>
      <c r="D22" s="9">
        <v>0.44</v>
      </c>
      <c r="E22">
        <v>0.39</v>
      </c>
      <c r="F22">
        <v>0.34</v>
      </c>
      <c r="G22" s="9"/>
    </row>
    <row r="23" spans="1:10" x14ac:dyDescent="0.2">
      <c r="A23" s="9">
        <v>6</v>
      </c>
      <c r="B23">
        <v>0.6</v>
      </c>
      <c r="C23">
        <v>0.5</v>
      </c>
      <c r="D23" s="9">
        <v>0.44</v>
      </c>
      <c r="E23">
        <v>0.39</v>
      </c>
      <c r="F23">
        <v>0.34</v>
      </c>
    </row>
    <row r="24" spans="1:10" x14ac:dyDescent="0.2">
      <c r="A24">
        <v>7</v>
      </c>
      <c r="B24">
        <v>0.7</v>
      </c>
      <c r="C24">
        <v>0.6</v>
      </c>
      <c r="D24" s="9">
        <v>0.48</v>
      </c>
      <c r="E24">
        <v>0.43</v>
      </c>
      <c r="F24">
        <v>0.38</v>
      </c>
    </row>
    <row r="25" spans="1:10" x14ac:dyDescent="0.2">
      <c r="A25" s="9">
        <v>8</v>
      </c>
      <c r="B25">
        <v>0.7</v>
      </c>
      <c r="C25">
        <v>0.6</v>
      </c>
      <c r="D25" s="9">
        <v>0.48</v>
      </c>
      <c r="E25">
        <v>0.43</v>
      </c>
      <c r="F25">
        <v>0.38</v>
      </c>
      <c r="G25" s="9"/>
    </row>
    <row r="26" spans="1:10" x14ac:dyDescent="0.2">
      <c r="A26">
        <v>9</v>
      </c>
      <c r="B26">
        <v>0.7</v>
      </c>
      <c r="C26">
        <v>0.6</v>
      </c>
      <c r="D26" s="9">
        <v>0.48</v>
      </c>
      <c r="E26">
        <v>0.43</v>
      </c>
      <c r="F26">
        <v>0.38</v>
      </c>
      <c r="G26" s="9"/>
    </row>
    <row r="27" spans="1:10" x14ac:dyDescent="0.2">
      <c r="A27" s="9">
        <v>10</v>
      </c>
      <c r="B27">
        <v>0.8</v>
      </c>
      <c r="C27">
        <v>0.7</v>
      </c>
      <c r="D27" s="9">
        <v>0.52</v>
      </c>
      <c r="E27">
        <v>0.47</v>
      </c>
      <c r="F27">
        <v>0.42</v>
      </c>
    </row>
    <row r="28" spans="1:10" x14ac:dyDescent="0.2">
      <c r="A28">
        <v>11</v>
      </c>
      <c r="B28">
        <v>0.8</v>
      </c>
      <c r="C28">
        <v>0.7</v>
      </c>
      <c r="D28" s="9">
        <v>0.52</v>
      </c>
      <c r="E28">
        <v>0.47</v>
      </c>
      <c r="F28">
        <v>0.42</v>
      </c>
    </row>
    <row r="30" spans="1:10" x14ac:dyDescent="0.2">
      <c r="A30" s="9"/>
    </row>
    <row r="31" spans="1:10" x14ac:dyDescent="0.2">
      <c r="A31" t="s">
        <v>199</v>
      </c>
      <c r="B31" t="s">
        <v>23</v>
      </c>
    </row>
    <row r="32" spans="1:10" x14ac:dyDescent="0.2">
      <c r="A32" t="s">
        <v>200</v>
      </c>
      <c r="B32" t="s">
        <v>27</v>
      </c>
    </row>
    <row r="33" spans="1:4" x14ac:dyDescent="0.2">
      <c r="A33" t="s">
        <v>201</v>
      </c>
      <c r="B33" t="s">
        <v>24</v>
      </c>
    </row>
    <row r="34" spans="1:4" x14ac:dyDescent="0.2">
      <c r="A34" t="s">
        <v>202</v>
      </c>
      <c r="B34" t="s">
        <v>26</v>
      </c>
      <c r="D34" s="9"/>
    </row>
    <row r="35" spans="1:4" x14ac:dyDescent="0.2">
      <c r="A35" t="s">
        <v>203</v>
      </c>
      <c r="B35" t="s">
        <v>22</v>
      </c>
      <c r="D35" s="9"/>
    </row>
    <row r="36" spans="1:4" x14ac:dyDescent="0.2">
      <c r="A36" t="s">
        <v>204</v>
      </c>
      <c r="B36" t="s">
        <v>25</v>
      </c>
      <c r="D36" s="9"/>
    </row>
  </sheetData>
  <mergeCells count="1">
    <mergeCell ref="A2:C2"/>
  </mergeCells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05EA5-FE53-4FFB-AB94-176F53A364B6}">
  <sheetPr codeName="Sheet4"/>
  <dimension ref="A1:S73"/>
  <sheetViews>
    <sheetView topLeftCell="A16" zoomScale="85" zoomScaleNormal="85" workbookViewId="0">
      <selection activeCell="V16" sqref="V16"/>
    </sheetView>
  </sheetViews>
  <sheetFormatPr defaultRowHeight="14.25" x14ac:dyDescent="0.2"/>
  <cols>
    <col min="1" max="1" width="16" customWidth="1"/>
    <col min="2" max="2" width="11.125" customWidth="1"/>
    <col min="3" max="6" width="8.625" customWidth="1"/>
    <col min="8" max="8" width="15.875" customWidth="1"/>
    <col min="9" max="9" width="11" customWidth="1"/>
    <col min="10" max="13" width="8.75" customWidth="1"/>
    <col min="14" max="14" width="13" bestFit="1" customWidth="1"/>
    <col min="15" max="16" width="10.875" customWidth="1"/>
    <col min="17" max="17" width="13" bestFit="1" customWidth="1"/>
    <col min="18" max="18" width="11.25" customWidth="1"/>
  </cols>
  <sheetData>
    <row r="1" spans="1:17" x14ac:dyDescent="0.2">
      <c r="A1" t="s">
        <v>196</v>
      </c>
      <c r="B1" t="s">
        <v>198</v>
      </c>
      <c r="C1" t="s">
        <v>191</v>
      </c>
      <c r="D1" t="s">
        <v>192</v>
      </c>
      <c r="E1" t="s">
        <v>193</v>
      </c>
      <c r="F1" t="s">
        <v>194</v>
      </c>
      <c r="H1" t="s">
        <v>197</v>
      </c>
      <c r="I1" t="s">
        <v>198</v>
      </c>
      <c r="J1" t="s">
        <v>191</v>
      </c>
      <c r="K1" t="s">
        <v>192</v>
      </c>
      <c r="L1" t="s">
        <v>193</v>
      </c>
      <c r="M1" t="s">
        <v>194</v>
      </c>
    </row>
    <row r="2" spans="1:17" x14ac:dyDescent="0.2">
      <c r="A2" t="s">
        <v>195</v>
      </c>
      <c r="C2">
        <v>0</v>
      </c>
      <c r="D2">
        <v>0</v>
      </c>
      <c r="E2">
        <v>0</v>
      </c>
      <c r="F2">
        <v>0</v>
      </c>
      <c r="H2" t="s">
        <v>195</v>
      </c>
      <c r="J2">
        <v>0</v>
      </c>
      <c r="K2">
        <v>0</v>
      </c>
      <c r="L2">
        <v>0</v>
      </c>
      <c r="M2">
        <v>0</v>
      </c>
      <c r="O2" t="s">
        <v>70</v>
      </c>
      <c r="Q2" t="s">
        <v>71</v>
      </c>
    </row>
    <row r="3" spans="1:17" x14ac:dyDescent="0.2">
      <c r="A3" t="s">
        <v>221</v>
      </c>
      <c r="H3" t="s">
        <v>221</v>
      </c>
    </row>
    <row r="4" spans="1:17" x14ac:dyDescent="0.2">
      <c r="A4" t="s">
        <v>222</v>
      </c>
      <c r="H4" t="s">
        <v>222</v>
      </c>
    </row>
    <row r="5" spans="1:17" x14ac:dyDescent="0.2">
      <c r="A5" t="s">
        <v>223</v>
      </c>
      <c r="H5" t="s">
        <v>223</v>
      </c>
    </row>
    <row r="6" spans="1:17" x14ac:dyDescent="0.2">
      <c r="A6" s="39" t="s">
        <v>55</v>
      </c>
      <c r="B6">
        <v>0</v>
      </c>
      <c r="C6" t="str">
        <f>"体" &amp; INT(INDEX(圣兽!C:C,MATCH(B6,圣兽!A:A,0)))</f>
        <v>体0</v>
      </c>
      <c r="D6" t="str">
        <f>"攻" &amp;INT( INDEX(圣兽!D:D,MATCH(B6,圣兽!A:A,0)))</f>
        <v>攻0</v>
      </c>
      <c r="E6" t="str">
        <f>"防" &amp; INT(INDEX(圣兽!E:E,MATCH(B6,圣兽!A:A,0)))</f>
        <v>防0</v>
      </c>
      <c r="H6" s="39" t="s">
        <v>55</v>
      </c>
      <c r="I6">
        <v>0</v>
      </c>
      <c r="J6" t="str">
        <f>"体" &amp; INT(INDEX(圣兽!C:C,MATCH(I6,圣兽!A:A,0)))</f>
        <v>体0</v>
      </c>
      <c r="K6" t="str">
        <f>"攻" &amp; INT(INDEX(圣兽!D:D,MATCH(I6,圣兽!A:A,0)))</f>
        <v>攻0</v>
      </c>
      <c r="L6" t="str">
        <f>"防" &amp; INT(INDEX(圣兽!E:E,MATCH(I6,圣兽!A:A,0)))</f>
        <v>防0</v>
      </c>
    </row>
    <row r="7" spans="1:17" x14ac:dyDescent="0.2">
      <c r="A7" s="1" t="s">
        <v>1</v>
      </c>
      <c r="B7" s="1" t="s">
        <v>0</v>
      </c>
      <c r="C7" s="1">
        <f>SUM(C8:C73)</f>
        <v>100</v>
      </c>
      <c r="D7" s="1">
        <f>SUM(D8:D73)</f>
        <v>42</v>
      </c>
      <c r="H7" s="1" t="s">
        <v>1</v>
      </c>
      <c r="I7" s="1" t="s">
        <v>0</v>
      </c>
      <c r="J7" s="1">
        <v>0</v>
      </c>
      <c r="K7" s="1">
        <v>0</v>
      </c>
    </row>
    <row r="8" spans="1:17" x14ac:dyDescent="0.2">
      <c r="A8" s="72" t="s">
        <v>84</v>
      </c>
      <c r="B8" s="72">
        <v>1</v>
      </c>
      <c r="C8" s="73">
        <v>100</v>
      </c>
      <c r="D8" s="72">
        <v>42</v>
      </c>
      <c r="E8" s="74"/>
      <c r="F8" s="74"/>
      <c r="G8" s="74"/>
      <c r="H8" s="72" t="s">
        <v>84</v>
      </c>
      <c r="I8" s="72">
        <v>1</v>
      </c>
      <c r="J8" s="73">
        <v>0</v>
      </c>
      <c r="K8" s="72">
        <v>0</v>
      </c>
      <c r="L8" s="26"/>
      <c r="M8" s="27"/>
    </row>
    <row r="9" spans="1:17" x14ac:dyDescent="0.2">
      <c r="A9" s="75" t="s">
        <v>85</v>
      </c>
      <c r="B9" s="75">
        <v>2</v>
      </c>
      <c r="C9" s="73">
        <v>0</v>
      </c>
      <c r="D9" s="75">
        <v>0</v>
      </c>
      <c r="E9" s="74"/>
      <c r="F9" s="74"/>
      <c r="G9" s="74"/>
      <c r="H9" s="75" t="s">
        <v>206</v>
      </c>
      <c r="I9" s="75">
        <v>2</v>
      </c>
      <c r="J9" s="73">
        <v>0</v>
      </c>
      <c r="K9" s="75">
        <v>0</v>
      </c>
      <c r="L9" s="26"/>
      <c r="M9" s="27"/>
    </row>
    <row r="10" spans="1:17" x14ac:dyDescent="0.2">
      <c r="A10" s="75" t="s">
        <v>86</v>
      </c>
      <c r="B10" s="75">
        <v>3</v>
      </c>
      <c r="C10" s="73">
        <v>0</v>
      </c>
      <c r="D10" s="75">
        <v>0</v>
      </c>
      <c r="E10" s="74"/>
      <c r="F10" s="71"/>
      <c r="G10" s="74"/>
      <c r="H10" s="75" t="s">
        <v>207</v>
      </c>
      <c r="I10" s="75">
        <v>3</v>
      </c>
      <c r="J10" s="73">
        <v>0</v>
      </c>
      <c r="K10" s="75">
        <v>0</v>
      </c>
      <c r="L10" s="26"/>
      <c r="M10" s="27"/>
    </row>
    <row r="11" spans="1:17" x14ac:dyDescent="0.2">
      <c r="A11" s="75" t="s">
        <v>87</v>
      </c>
      <c r="B11" s="75">
        <v>4</v>
      </c>
      <c r="C11" s="73">
        <v>0</v>
      </c>
      <c r="D11" s="75">
        <v>0</v>
      </c>
      <c r="E11" s="74"/>
      <c r="F11" s="74"/>
      <c r="G11" s="74"/>
      <c r="H11" s="75" t="s">
        <v>208</v>
      </c>
      <c r="I11" s="75">
        <v>4</v>
      </c>
      <c r="J11" s="73">
        <v>0</v>
      </c>
      <c r="K11" s="75">
        <v>0</v>
      </c>
      <c r="L11" s="26"/>
      <c r="M11" s="27"/>
    </row>
    <row r="12" spans="1:17" x14ac:dyDescent="0.2">
      <c r="A12" s="75" t="s">
        <v>88</v>
      </c>
      <c r="B12" s="75">
        <v>5</v>
      </c>
      <c r="C12" s="73">
        <v>0</v>
      </c>
      <c r="D12" s="75">
        <v>0</v>
      </c>
      <c r="E12" s="74"/>
      <c r="F12" s="74"/>
      <c r="G12" s="74"/>
      <c r="H12" s="75" t="s">
        <v>209</v>
      </c>
      <c r="I12" s="75">
        <v>5</v>
      </c>
      <c r="J12" s="73">
        <v>0</v>
      </c>
      <c r="K12" s="75">
        <v>0</v>
      </c>
      <c r="L12" s="26"/>
      <c r="M12" s="27"/>
    </row>
    <row r="13" spans="1:17" x14ac:dyDescent="0.2">
      <c r="A13" s="75" t="s">
        <v>89</v>
      </c>
      <c r="B13" s="75">
        <v>6</v>
      </c>
      <c r="C13" s="73">
        <v>0</v>
      </c>
      <c r="D13" s="75">
        <v>0</v>
      </c>
      <c r="E13" s="74"/>
      <c r="F13" s="74"/>
      <c r="G13" s="74"/>
      <c r="H13" s="75" t="s">
        <v>210</v>
      </c>
      <c r="I13" s="75">
        <v>6</v>
      </c>
      <c r="J13" s="73">
        <v>0</v>
      </c>
      <c r="K13" s="75">
        <v>0</v>
      </c>
      <c r="L13" s="26"/>
      <c r="M13" s="27"/>
    </row>
    <row r="14" spans="1:17" x14ac:dyDescent="0.2">
      <c r="A14" s="75" t="s">
        <v>90</v>
      </c>
      <c r="B14" s="75">
        <v>7</v>
      </c>
      <c r="C14" s="73">
        <v>0</v>
      </c>
      <c r="D14" s="75">
        <v>0</v>
      </c>
      <c r="E14" s="74"/>
      <c r="F14" s="74"/>
      <c r="G14" s="74"/>
      <c r="H14" s="75" t="s">
        <v>211</v>
      </c>
      <c r="I14" s="75">
        <v>7</v>
      </c>
      <c r="J14" s="73">
        <v>0</v>
      </c>
      <c r="K14" s="75">
        <v>0</v>
      </c>
      <c r="L14" s="26"/>
      <c r="M14" s="27"/>
    </row>
    <row r="15" spans="1:17" x14ac:dyDescent="0.2">
      <c r="A15" s="75" t="s">
        <v>91</v>
      </c>
      <c r="B15" s="75">
        <v>8</v>
      </c>
      <c r="C15" s="73">
        <v>0</v>
      </c>
      <c r="D15" s="75">
        <v>0</v>
      </c>
      <c r="E15" s="74"/>
      <c r="F15" s="74"/>
      <c r="G15" s="74"/>
      <c r="H15" s="75" t="s">
        <v>212</v>
      </c>
      <c r="I15" s="75">
        <v>8</v>
      </c>
      <c r="J15" s="73">
        <v>0</v>
      </c>
      <c r="K15" s="75">
        <v>0</v>
      </c>
      <c r="L15" s="26"/>
      <c r="M15" s="27"/>
    </row>
    <row r="16" spans="1:17" x14ac:dyDescent="0.2">
      <c r="A16" s="75" t="s">
        <v>92</v>
      </c>
      <c r="B16" s="75">
        <v>9</v>
      </c>
      <c r="C16" s="73">
        <v>0</v>
      </c>
      <c r="D16" s="75">
        <v>0</v>
      </c>
      <c r="E16" s="74"/>
      <c r="F16" s="74"/>
      <c r="G16" s="74"/>
      <c r="H16" s="75" t="s">
        <v>213</v>
      </c>
      <c r="I16" s="75">
        <v>9</v>
      </c>
      <c r="J16" s="73">
        <v>0</v>
      </c>
      <c r="K16" s="75">
        <v>0</v>
      </c>
      <c r="L16" s="26"/>
      <c r="M16" s="27"/>
    </row>
    <row r="17" spans="1:19" x14ac:dyDescent="0.2">
      <c r="A17" s="74" t="s">
        <v>93</v>
      </c>
      <c r="B17" s="74">
        <v>10</v>
      </c>
      <c r="C17" s="73">
        <v>0</v>
      </c>
      <c r="D17" s="74">
        <v>0</v>
      </c>
      <c r="E17" s="74"/>
      <c r="F17" s="74"/>
      <c r="G17" s="74"/>
      <c r="H17" s="74" t="s">
        <v>214</v>
      </c>
      <c r="I17" s="78">
        <v>10</v>
      </c>
      <c r="J17" s="73">
        <v>0</v>
      </c>
      <c r="K17" s="78">
        <v>0</v>
      </c>
      <c r="M17" s="27"/>
    </row>
    <row r="18" spans="1:19" x14ac:dyDescent="0.2">
      <c r="A18" s="74" t="s">
        <v>94</v>
      </c>
      <c r="B18" s="74">
        <v>11</v>
      </c>
      <c r="C18" s="73">
        <v>0</v>
      </c>
      <c r="D18" s="74">
        <v>0</v>
      </c>
      <c r="E18" s="74"/>
      <c r="F18" s="74"/>
      <c r="G18" s="74"/>
      <c r="H18" s="74" t="s">
        <v>215</v>
      </c>
      <c r="I18" s="78">
        <v>11</v>
      </c>
      <c r="J18" s="73">
        <v>0</v>
      </c>
      <c r="K18" s="78">
        <v>0</v>
      </c>
      <c r="M18" s="27"/>
      <c r="N18" s="35" t="s">
        <v>50</v>
      </c>
      <c r="O18" s="36">
        <v>1</v>
      </c>
    </row>
    <row r="19" spans="1:19" x14ac:dyDescent="0.2">
      <c r="A19" s="72" t="s">
        <v>95</v>
      </c>
      <c r="B19" s="77">
        <v>1</v>
      </c>
      <c r="C19" s="73">
        <v>0</v>
      </c>
      <c r="D19" s="77">
        <v>0</v>
      </c>
      <c r="E19" s="74"/>
      <c r="F19" s="74"/>
      <c r="G19" s="74"/>
      <c r="H19" s="72" t="s">
        <v>216</v>
      </c>
      <c r="I19" s="80">
        <v>1</v>
      </c>
      <c r="J19" s="73">
        <v>100</v>
      </c>
      <c r="K19" s="80">
        <v>40</v>
      </c>
      <c r="N19" s="30" t="s">
        <v>51</v>
      </c>
      <c r="O19" s="29">
        <v>2</v>
      </c>
      <c r="Q19" s="30" t="s">
        <v>52</v>
      </c>
      <c r="R19" s="29">
        <v>0.6953125</v>
      </c>
    </row>
    <row r="20" spans="1:19" x14ac:dyDescent="0.2">
      <c r="A20" s="74" t="s">
        <v>96</v>
      </c>
      <c r="B20" s="74">
        <v>2</v>
      </c>
      <c r="C20" s="73">
        <v>0</v>
      </c>
      <c r="D20" s="74">
        <v>0</v>
      </c>
      <c r="E20" s="74"/>
      <c r="F20" s="74"/>
      <c r="G20" s="74"/>
      <c r="H20" s="74" t="s">
        <v>96</v>
      </c>
      <c r="I20" s="78">
        <v>2</v>
      </c>
      <c r="J20" s="73">
        <v>0</v>
      </c>
      <c r="K20" s="78">
        <v>0</v>
      </c>
      <c r="N20" s="7" t="s">
        <v>10</v>
      </c>
      <c r="O20" s="8"/>
      <c r="P20" s="22" t="s">
        <v>72</v>
      </c>
      <c r="Q20" s="10" t="s">
        <v>11</v>
      </c>
      <c r="R20" s="11"/>
    </row>
    <row r="21" spans="1:19" x14ac:dyDescent="0.2">
      <c r="A21" s="74" t="s">
        <v>97</v>
      </c>
      <c r="B21" s="74">
        <v>3</v>
      </c>
      <c r="C21" s="73">
        <v>0</v>
      </c>
      <c r="D21" s="74">
        <v>0</v>
      </c>
      <c r="E21" s="74"/>
      <c r="F21" s="74"/>
      <c r="G21" s="74"/>
      <c r="H21" s="74" t="s">
        <v>97</v>
      </c>
      <c r="I21" s="78">
        <v>3</v>
      </c>
      <c r="J21" s="73">
        <v>0</v>
      </c>
      <c r="K21" s="78">
        <v>0</v>
      </c>
      <c r="N21" s="12" t="s">
        <v>12</v>
      </c>
      <c r="O21" s="13">
        <v>810.00003814697266</v>
      </c>
      <c r="P21" s="9"/>
      <c r="Q21" s="12" t="s">
        <v>18</v>
      </c>
      <c r="R21" s="13">
        <v>800</v>
      </c>
    </row>
    <row r="22" spans="1:19" x14ac:dyDescent="0.2">
      <c r="A22" s="74" t="s">
        <v>98</v>
      </c>
      <c r="B22" s="74">
        <v>4</v>
      </c>
      <c r="C22" s="73">
        <v>0</v>
      </c>
      <c r="D22" s="74">
        <v>0</v>
      </c>
      <c r="E22" s="74"/>
      <c r="F22" s="74"/>
      <c r="G22" s="74"/>
      <c r="H22" s="74" t="s">
        <v>98</v>
      </c>
      <c r="I22" s="78">
        <v>4</v>
      </c>
      <c r="J22" s="73">
        <v>0</v>
      </c>
      <c r="K22" s="78">
        <v>0</v>
      </c>
      <c r="L22" t="s">
        <v>44</v>
      </c>
      <c r="N22" s="14" t="s">
        <v>19</v>
      </c>
      <c r="O22" s="15">
        <v>100</v>
      </c>
      <c r="P22" s="9"/>
      <c r="Q22" s="14" t="s">
        <v>19</v>
      </c>
      <c r="R22" s="15">
        <v>100</v>
      </c>
    </row>
    <row r="23" spans="1:19" x14ac:dyDescent="0.2">
      <c r="A23" s="74" t="s">
        <v>99</v>
      </c>
      <c r="B23" s="74">
        <v>5</v>
      </c>
      <c r="C23" s="73">
        <v>0</v>
      </c>
      <c r="D23" s="74">
        <v>0</v>
      </c>
      <c r="E23" s="74"/>
      <c r="F23" s="74"/>
      <c r="G23" s="74"/>
      <c r="H23" s="74" t="s">
        <v>99</v>
      </c>
      <c r="I23" s="78">
        <v>5</v>
      </c>
      <c r="J23" s="73">
        <v>0</v>
      </c>
      <c r="K23" s="78">
        <v>0</v>
      </c>
      <c r="L23" s="26"/>
      <c r="N23" s="16" t="s">
        <v>13</v>
      </c>
      <c r="O23" s="17">
        <v>60</v>
      </c>
      <c r="P23" s="9"/>
      <c r="Q23" s="16" t="s">
        <v>13</v>
      </c>
      <c r="R23" s="17">
        <v>58</v>
      </c>
    </row>
    <row r="24" spans="1:19" x14ac:dyDescent="0.2">
      <c r="A24" s="74" t="s">
        <v>100</v>
      </c>
      <c r="B24" s="74">
        <v>6</v>
      </c>
      <c r="C24" s="73">
        <v>0</v>
      </c>
      <c r="D24" s="74">
        <v>0</v>
      </c>
      <c r="E24" s="74"/>
      <c r="F24" s="74"/>
      <c r="G24" s="74"/>
      <c r="H24" s="74" t="s">
        <v>100</v>
      </c>
      <c r="I24" s="78">
        <v>6</v>
      </c>
      <c r="J24" s="73">
        <v>0</v>
      </c>
      <c r="K24" s="78">
        <v>0</v>
      </c>
      <c r="L24" s="26"/>
      <c r="N24" s="18" t="s">
        <v>14</v>
      </c>
      <c r="O24" s="19">
        <v>58</v>
      </c>
      <c r="P24" s="9"/>
      <c r="Q24" s="18" t="s">
        <v>14</v>
      </c>
      <c r="R24" s="19">
        <v>60</v>
      </c>
    </row>
    <row r="25" spans="1:19" x14ac:dyDescent="0.2">
      <c r="A25" s="74" t="s">
        <v>101</v>
      </c>
      <c r="B25" s="74">
        <v>7</v>
      </c>
      <c r="C25" s="73">
        <v>0</v>
      </c>
      <c r="D25" s="74">
        <v>0</v>
      </c>
      <c r="E25" s="74"/>
      <c r="F25" s="74"/>
      <c r="G25" s="74"/>
      <c r="H25" s="74" t="s">
        <v>101</v>
      </c>
      <c r="I25" s="78">
        <v>7</v>
      </c>
      <c r="J25" s="73">
        <v>0</v>
      </c>
      <c r="K25" s="78">
        <v>0</v>
      </c>
      <c r="N25" s="18" t="s">
        <v>15</v>
      </c>
      <c r="O25" s="19">
        <v>42</v>
      </c>
      <c r="P25" s="9"/>
      <c r="Q25" s="18" t="s">
        <v>15</v>
      </c>
      <c r="R25" s="19">
        <v>40</v>
      </c>
    </row>
    <row r="26" spans="1:19" x14ac:dyDescent="0.2">
      <c r="A26" s="74" t="s">
        <v>102</v>
      </c>
      <c r="B26" s="74">
        <v>8</v>
      </c>
      <c r="C26" s="73">
        <v>0</v>
      </c>
      <c r="D26" s="74">
        <v>0</v>
      </c>
      <c r="E26" s="74"/>
      <c r="F26" s="74"/>
      <c r="G26" s="74"/>
      <c r="H26" s="74" t="s">
        <v>102</v>
      </c>
      <c r="I26" s="78">
        <v>8</v>
      </c>
      <c r="J26" s="73">
        <v>0</v>
      </c>
      <c r="K26" s="78">
        <v>0</v>
      </c>
      <c r="N26" s="20" t="s">
        <v>16</v>
      </c>
      <c r="O26" s="21">
        <v>469</v>
      </c>
      <c r="P26" s="9"/>
      <c r="Q26" s="20" t="s">
        <v>16</v>
      </c>
      <c r="R26" s="21">
        <v>480</v>
      </c>
      <c r="S26" s="1"/>
    </row>
    <row r="27" spans="1:19" x14ac:dyDescent="0.2">
      <c r="A27" s="74" t="s">
        <v>103</v>
      </c>
      <c r="B27" s="74">
        <v>9</v>
      </c>
      <c r="C27" s="73">
        <v>0</v>
      </c>
      <c r="D27" s="74">
        <v>0</v>
      </c>
      <c r="E27" s="74"/>
      <c r="F27" s="74"/>
      <c r="G27" s="74"/>
      <c r="H27" s="74" t="s">
        <v>103</v>
      </c>
      <c r="I27" s="78">
        <v>9</v>
      </c>
      <c r="J27" s="73">
        <v>0</v>
      </c>
      <c r="K27" s="78">
        <v>0</v>
      </c>
      <c r="N27" s="14" t="s">
        <v>17</v>
      </c>
      <c r="O27" s="15">
        <v>341.00003814697266</v>
      </c>
      <c r="P27" s="9"/>
      <c r="Q27" s="14" t="s">
        <v>17</v>
      </c>
      <c r="R27" s="15">
        <v>320</v>
      </c>
      <c r="S27" s="1"/>
    </row>
    <row r="28" spans="1:19" x14ac:dyDescent="0.2">
      <c r="A28" s="74" t="s">
        <v>104</v>
      </c>
      <c r="B28" s="74">
        <v>10</v>
      </c>
      <c r="C28" s="73">
        <v>0</v>
      </c>
      <c r="D28" s="74">
        <v>0</v>
      </c>
      <c r="E28" s="74"/>
      <c r="F28" s="74"/>
      <c r="G28" s="74"/>
      <c r="H28" s="74" t="s">
        <v>104</v>
      </c>
      <c r="I28" s="78">
        <v>10</v>
      </c>
      <c r="J28" s="73">
        <v>0</v>
      </c>
      <c r="K28" s="78">
        <v>0</v>
      </c>
      <c r="N28" s="14" t="s">
        <v>21</v>
      </c>
      <c r="O28" s="15">
        <v>57.901231841041103</v>
      </c>
      <c r="P28" s="9"/>
      <c r="Q28" s="14" t="s">
        <v>21</v>
      </c>
      <c r="R28" s="15">
        <v>60</v>
      </c>
      <c r="S28" s="1"/>
    </row>
    <row r="29" spans="1:19" x14ac:dyDescent="0.2">
      <c r="A29" s="74" t="s">
        <v>105</v>
      </c>
      <c r="B29" s="74">
        <v>11</v>
      </c>
      <c r="C29" s="73">
        <v>0</v>
      </c>
      <c r="D29" s="74">
        <v>0</v>
      </c>
      <c r="E29" s="74"/>
      <c r="F29" s="74"/>
      <c r="G29" s="74"/>
      <c r="H29" s="74" t="s">
        <v>105</v>
      </c>
      <c r="I29" s="78">
        <v>11</v>
      </c>
      <c r="J29" s="73">
        <v>0</v>
      </c>
      <c r="K29" s="78">
        <v>0</v>
      </c>
      <c r="N29" s="14" t="s">
        <v>56</v>
      </c>
      <c r="O29" s="15"/>
      <c r="Q29" s="14" t="s">
        <v>56</v>
      </c>
      <c r="R29" s="15"/>
      <c r="S29" s="1"/>
    </row>
    <row r="30" spans="1:19" x14ac:dyDescent="0.2">
      <c r="A30" s="72" t="s">
        <v>106</v>
      </c>
      <c r="B30" s="77">
        <v>1</v>
      </c>
      <c r="C30" s="73">
        <v>0</v>
      </c>
      <c r="D30" s="77">
        <v>0</v>
      </c>
      <c r="E30" s="74"/>
      <c r="F30" s="74"/>
      <c r="G30" s="74"/>
      <c r="H30" s="72" t="s">
        <v>217</v>
      </c>
      <c r="I30" s="80">
        <v>1</v>
      </c>
      <c r="J30" s="73">
        <v>0</v>
      </c>
      <c r="K30" s="80">
        <v>0</v>
      </c>
      <c r="S30" s="1"/>
    </row>
    <row r="31" spans="1:19" x14ac:dyDescent="0.2">
      <c r="A31" s="74" t="s">
        <v>107</v>
      </c>
      <c r="B31" s="74">
        <v>2</v>
      </c>
      <c r="C31" s="73">
        <v>0</v>
      </c>
      <c r="D31" s="74">
        <v>0</v>
      </c>
      <c r="E31" s="74"/>
      <c r="F31" s="74"/>
      <c r="G31" s="74"/>
      <c r="H31" s="74" t="s">
        <v>107</v>
      </c>
      <c r="I31" s="78">
        <v>2</v>
      </c>
      <c r="J31" s="73">
        <v>0</v>
      </c>
      <c r="K31" s="78">
        <v>0</v>
      </c>
      <c r="S31" s="1"/>
    </row>
    <row r="32" spans="1:19" x14ac:dyDescent="0.2">
      <c r="A32" s="74" t="s">
        <v>108</v>
      </c>
      <c r="B32" s="74">
        <v>3</v>
      </c>
      <c r="C32" s="73">
        <v>0</v>
      </c>
      <c r="D32" s="74">
        <v>0</v>
      </c>
      <c r="E32" s="74"/>
      <c r="F32" s="74"/>
      <c r="G32" s="74"/>
      <c r="H32" s="74" t="s">
        <v>108</v>
      </c>
      <c r="I32" s="78">
        <v>3</v>
      </c>
      <c r="J32" s="73">
        <v>0</v>
      </c>
      <c r="K32" s="78">
        <v>0</v>
      </c>
    </row>
    <row r="33" spans="1:11" x14ac:dyDescent="0.2">
      <c r="A33" s="74" t="s">
        <v>109</v>
      </c>
      <c r="B33" s="74">
        <v>4</v>
      </c>
      <c r="C33" s="73">
        <v>0</v>
      </c>
      <c r="D33" s="74">
        <v>0</v>
      </c>
      <c r="E33" s="74"/>
      <c r="F33" s="74"/>
      <c r="G33" s="74"/>
      <c r="H33" s="74" t="s">
        <v>109</v>
      </c>
      <c r="I33" s="78">
        <v>4</v>
      </c>
      <c r="J33" s="73">
        <v>0</v>
      </c>
      <c r="K33" s="78">
        <v>0</v>
      </c>
    </row>
    <row r="34" spans="1:11" x14ac:dyDescent="0.2">
      <c r="A34" s="74" t="s">
        <v>110</v>
      </c>
      <c r="B34" s="74">
        <v>5</v>
      </c>
      <c r="C34" s="73">
        <v>0</v>
      </c>
      <c r="D34" s="74">
        <v>0</v>
      </c>
      <c r="E34" s="74"/>
      <c r="F34" s="74"/>
      <c r="G34" s="74"/>
      <c r="H34" s="74" t="s">
        <v>110</v>
      </c>
      <c r="I34" s="78">
        <v>5</v>
      </c>
      <c r="J34" s="73">
        <v>0</v>
      </c>
      <c r="K34" s="78">
        <v>0</v>
      </c>
    </row>
    <row r="35" spans="1:11" x14ac:dyDescent="0.2">
      <c r="A35" s="74" t="s">
        <v>111</v>
      </c>
      <c r="B35" s="74">
        <v>6</v>
      </c>
      <c r="C35" s="73">
        <v>0</v>
      </c>
      <c r="D35" s="74">
        <v>0</v>
      </c>
      <c r="E35" s="74"/>
      <c r="F35" s="74"/>
      <c r="G35" s="74"/>
      <c r="H35" s="74" t="s">
        <v>111</v>
      </c>
      <c r="I35" s="78">
        <v>6</v>
      </c>
      <c r="J35" s="73">
        <v>0</v>
      </c>
      <c r="K35" s="78">
        <v>0</v>
      </c>
    </row>
    <row r="36" spans="1:11" x14ac:dyDescent="0.2">
      <c r="A36" s="74" t="s">
        <v>112</v>
      </c>
      <c r="B36" s="74">
        <v>7</v>
      </c>
      <c r="C36" s="73">
        <v>0</v>
      </c>
      <c r="D36" s="74">
        <v>0</v>
      </c>
      <c r="E36" s="74"/>
      <c r="F36" s="74"/>
      <c r="G36" s="74"/>
      <c r="H36" s="74" t="s">
        <v>112</v>
      </c>
      <c r="I36" s="78">
        <v>7</v>
      </c>
      <c r="J36" s="73">
        <v>0</v>
      </c>
      <c r="K36" s="78">
        <v>0</v>
      </c>
    </row>
    <row r="37" spans="1:11" x14ac:dyDescent="0.2">
      <c r="A37" s="74" t="s">
        <v>113</v>
      </c>
      <c r="B37" s="74">
        <v>8</v>
      </c>
      <c r="C37" s="73">
        <v>0</v>
      </c>
      <c r="D37" s="74">
        <v>0</v>
      </c>
      <c r="E37" s="74"/>
      <c r="F37" s="74"/>
      <c r="G37" s="74"/>
      <c r="H37" s="74" t="s">
        <v>113</v>
      </c>
      <c r="I37" s="78">
        <v>8</v>
      </c>
      <c r="J37" s="73">
        <v>0</v>
      </c>
      <c r="K37" s="78">
        <v>0</v>
      </c>
    </row>
    <row r="38" spans="1:11" x14ac:dyDescent="0.2">
      <c r="A38" s="74" t="s">
        <v>114</v>
      </c>
      <c r="B38" s="74">
        <v>9</v>
      </c>
      <c r="C38" s="73">
        <v>0</v>
      </c>
      <c r="D38" s="74">
        <v>0</v>
      </c>
      <c r="E38" s="74"/>
      <c r="F38" s="74"/>
      <c r="G38" s="74"/>
      <c r="H38" s="74" t="s">
        <v>114</v>
      </c>
      <c r="I38" s="78">
        <v>9</v>
      </c>
      <c r="J38" s="73">
        <v>0</v>
      </c>
      <c r="K38" s="78">
        <v>0</v>
      </c>
    </row>
    <row r="39" spans="1:11" x14ac:dyDescent="0.2">
      <c r="A39" s="74" t="s">
        <v>115</v>
      </c>
      <c r="B39" s="74">
        <v>10</v>
      </c>
      <c r="C39" s="73">
        <v>0</v>
      </c>
      <c r="D39" s="74">
        <v>0</v>
      </c>
      <c r="E39" s="74"/>
      <c r="F39" s="74"/>
      <c r="G39" s="74"/>
      <c r="H39" s="74" t="s">
        <v>115</v>
      </c>
      <c r="I39" s="78">
        <v>10</v>
      </c>
      <c r="J39" s="73">
        <v>0</v>
      </c>
      <c r="K39" s="78">
        <v>0</v>
      </c>
    </row>
    <row r="40" spans="1:11" x14ac:dyDescent="0.2">
      <c r="A40" s="74" t="s">
        <v>116</v>
      </c>
      <c r="B40" s="74">
        <v>11</v>
      </c>
      <c r="C40" s="73">
        <v>0</v>
      </c>
      <c r="D40" s="74">
        <v>0</v>
      </c>
      <c r="E40" s="74"/>
      <c r="F40" s="74"/>
      <c r="G40" s="74"/>
      <c r="H40" s="74" t="s">
        <v>116</v>
      </c>
      <c r="I40" s="78">
        <v>11</v>
      </c>
      <c r="J40" s="73">
        <v>0</v>
      </c>
      <c r="K40" s="78">
        <v>0</v>
      </c>
    </row>
    <row r="41" spans="1:11" x14ac:dyDescent="0.2">
      <c r="A41" s="72" t="s">
        <v>117</v>
      </c>
      <c r="B41" s="76">
        <v>1</v>
      </c>
      <c r="C41" s="73">
        <v>0</v>
      </c>
      <c r="D41" s="77">
        <v>0</v>
      </c>
      <c r="E41" s="74"/>
      <c r="F41" s="74"/>
      <c r="G41" s="74"/>
      <c r="H41" s="72" t="s">
        <v>218</v>
      </c>
      <c r="I41" s="79">
        <v>1</v>
      </c>
      <c r="J41" s="73">
        <v>0</v>
      </c>
      <c r="K41" s="80">
        <v>0</v>
      </c>
    </row>
    <row r="42" spans="1:11" x14ac:dyDescent="0.2">
      <c r="A42" s="74" t="s">
        <v>118</v>
      </c>
      <c r="B42" s="74">
        <v>2</v>
      </c>
      <c r="C42" s="73">
        <v>0</v>
      </c>
      <c r="D42" s="74">
        <v>0</v>
      </c>
      <c r="E42" s="74"/>
      <c r="F42" s="74"/>
      <c r="G42" s="74"/>
      <c r="H42" s="74" t="s">
        <v>118</v>
      </c>
      <c r="I42" s="78">
        <v>2</v>
      </c>
      <c r="J42" s="73">
        <v>0</v>
      </c>
      <c r="K42" s="78">
        <v>0</v>
      </c>
    </row>
    <row r="43" spans="1:11" x14ac:dyDescent="0.2">
      <c r="A43" s="74" t="s">
        <v>119</v>
      </c>
      <c r="B43" s="74">
        <v>3</v>
      </c>
      <c r="C43" s="73">
        <v>0</v>
      </c>
      <c r="D43" s="74">
        <v>0</v>
      </c>
      <c r="E43" s="74"/>
      <c r="F43" s="74"/>
      <c r="G43" s="74"/>
      <c r="H43" s="74" t="s">
        <v>119</v>
      </c>
      <c r="I43" s="78">
        <v>3</v>
      </c>
      <c r="J43" s="73">
        <v>0</v>
      </c>
      <c r="K43" s="78">
        <v>0</v>
      </c>
    </row>
    <row r="44" spans="1:11" x14ac:dyDescent="0.2">
      <c r="A44" s="74" t="s">
        <v>120</v>
      </c>
      <c r="B44" s="74">
        <v>4</v>
      </c>
      <c r="C44" s="73">
        <v>0</v>
      </c>
      <c r="D44" s="74">
        <v>0</v>
      </c>
      <c r="E44" s="74"/>
      <c r="F44" s="74"/>
      <c r="G44" s="74"/>
      <c r="H44" s="74" t="s">
        <v>120</v>
      </c>
      <c r="I44" s="78">
        <v>4</v>
      </c>
      <c r="J44" s="73">
        <v>0</v>
      </c>
      <c r="K44" s="78">
        <v>0</v>
      </c>
    </row>
    <row r="45" spans="1:11" x14ac:dyDescent="0.2">
      <c r="A45" s="74" t="s">
        <v>121</v>
      </c>
      <c r="B45" s="74">
        <v>5</v>
      </c>
      <c r="C45" s="73">
        <v>0</v>
      </c>
      <c r="D45" s="74">
        <v>0</v>
      </c>
      <c r="E45" s="74"/>
      <c r="F45" s="74"/>
      <c r="G45" s="74"/>
      <c r="H45" s="74" t="s">
        <v>121</v>
      </c>
      <c r="I45" s="78">
        <v>5</v>
      </c>
      <c r="J45" s="73">
        <v>0</v>
      </c>
      <c r="K45" s="78">
        <v>0</v>
      </c>
    </row>
    <row r="46" spans="1:11" x14ac:dyDescent="0.2">
      <c r="A46" s="74" t="s">
        <v>122</v>
      </c>
      <c r="B46" s="74">
        <v>6</v>
      </c>
      <c r="C46" s="73">
        <v>0</v>
      </c>
      <c r="D46" s="74">
        <v>0</v>
      </c>
      <c r="E46" s="74"/>
      <c r="F46" s="74"/>
      <c r="G46" s="74"/>
      <c r="H46" s="74" t="s">
        <v>122</v>
      </c>
      <c r="I46" s="78">
        <v>6</v>
      </c>
      <c r="J46" s="73">
        <v>0</v>
      </c>
      <c r="K46" s="78">
        <v>0</v>
      </c>
    </row>
    <row r="47" spans="1:11" x14ac:dyDescent="0.2">
      <c r="A47" s="74" t="s">
        <v>123</v>
      </c>
      <c r="B47" s="74">
        <v>7</v>
      </c>
      <c r="C47" s="73">
        <v>0</v>
      </c>
      <c r="D47" s="74">
        <v>0</v>
      </c>
      <c r="E47" s="74"/>
      <c r="F47" s="74"/>
      <c r="G47" s="74"/>
      <c r="H47" s="74" t="s">
        <v>123</v>
      </c>
      <c r="I47" s="78">
        <v>7</v>
      </c>
      <c r="J47" s="73">
        <v>0</v>
      </c>
      <c r="K47" s="78">
        <v>0</v>
      </c>
    </row>
    <row r="48" spans="1:11" x14ac:dyDescent="0.2">
      <c r="A48" s="74" t="s">
        <v>124</v>
      </c>
      <c r="B48" s="74">
        <v>8</v>
      </c>
      <c r="C48" s="73">
        <v>0</v>
      </c>
      <c r="D48" s="74">
        <v>0</v>
      </c>
      <c r="E48" s="74"/>
      <c r="F48" s="74"/>
      <c r="G48" s="74"/>
      <c r="H48" s="74" t="s">
        <v>124</v>
      </c>
      <c r="I48" s="78">
        <v>8</v>
      </c>
      <c r="J48" s="73">
        <v>0</v>
      </c>
      <c r="K48" s="78">
        <v>0</v>
      </c>
    </row>
    <row r="49" spans="1:11" x14ac:dyDescent="0.2">
      <c r="A49" s="74" t="s">
        <v>125</v>
      </c>
      <c r="B49" s="74">
        <v>9</v>
      </c>
      <c r="C49" s="73">
        <v>0</v>
      </c>
      <c r="D49" s="74">
        <v>0</v>
      </c>
      <c r="E49" s="74"/>
      <c r="F49" s="74"/>
      <c r="G49" s="74"/>
      <c r="H49" s="74" t="s">
        <v>125</v>
      </c>
      <c r="I49" s="78">
        <v>9</v>
      </c>
      <c r="J49" s="73">
        <v>0</v>
      </c>
      <c r="K49" s="78">
        <v>0</v>
      </c>
    </row>
    <row r="50" spans="1:11" x14ac:dyDescent="0.2">
      <c r="A50" s="74" t="s">
        <v>126</v>
      </c>
      <c r="B50" s="74">
        <v>10</v>
      </c>
      <c r="C50" s="73">
        <v>0</v>
      </c>
      <c r="D50" s="74">
        <v>0</v>
      </c>
      <c r="E50" s="74"/>
      <c r="F50" s="74"/>
      <c r="G50" s="74"/>
      <c r="H50" s="74" t="s">
        <v>126</v>
      </c>
      <c r="I50" s="78">
        <v>10</v>
      </c>
      <c r="J50" s="73">
        <v>0</v>
      </c>
      <c r="K50" s="78">
        <v>0</v>
      </c>
    </row>
    <row r="51" spans="1:11" x14ac:dyDescent="0.2">
      <c r="A51" s="74" t="s">
        <v>127</v>
      </c>
      <c r="B51" s="74">
        <v>11</v>
      </c>
      <c r="C51" s="73">
        <v>0</v>
      </c>
      <c r="D51" s="74">
        <v>0</v>
      </c>
      <c r="E51" s="74"/>
      <c r="F51" s="74"/>
      <c r="G51" s="74"/>
      <c r="H51" s="74" t="s">
        <v>127</v>
      </c>
      <c r="I51" s="78">
        <v>11</v>
      </c>
      <c r="J51" s="73">
        <v>0</v>
      </c>
      <c r="K51" s="78">
        <v>0</v>
      </c>
    </row>
    <row r="52" spans="1:11" x14ac:dyDescent="0.2">
      <c r="A52" s="72" t="s">
        <v>128</v>
      </c>
      <c r="B52" s="76">
        <v>1</v>
      </c>
      <c r="C52" s="73">
        <v>0</v>
      </c>
      <c r="D52" s="77">
        <v>0</v>
      </c>
      <c r="E52" s="74"/>
      <c r="F52" s="74"/>
      <c r="G52" s="74"/>
      <c r="H52" s="72" t="s">
        <v>219</v>
      </c>
      <c r="I52" s="79">
        <v>1</v>
      </c>
      <c r="J52" s="73">
        <v>0</v>
      </c>
      <c r="K52" s="80">
        <v>0</v>
      </c>
    </row>
    <row r="53" spans="1:11" x14ac:dyDescent="0.2">
      <c r="A53" s="74" t="s">
        <v>129</v>
      </c>
      <c r="B53" s="74">
        <v>2</v>
      </c>
      <c r="C53" s="73">
        <v>0</v>
      </c>
      <c r="D53" s="74">
        <v>0</v>
      </c>
      <c r="E53" s="74"/>
      <c r="F53" s="74"/>
      <c r="G53" s="74"/>
      <c r="H53" s="74" t="s">
        <v>129</v>
      </c>
      <c r="I53" s="78">
        <v>2</v>
      </c>
      <c r="J53" s="73">
        <v>0</v>
      </c>
      <c r="K53" s="78">
        <v>0</v>
      </c>
    </row>
    <row r="54" spans="1:11" x14ac:dyDescent="0.2">
      <c r="A54" s="74" t="s">
        <v>130</v>
      </c>
      <c r="B54" s="74">
        <v>3</v>
      </c>
      <c r="C54" s="73">
        <v>0</v>
      </c>
      <c r="D54" s="74">
        <v>0</v>
      </c>
      <c r="E54" s="74"/>
      <c r="F54" s="74"/>
      <c r="G54" s="74"/>
      <c r="H54" s="74" t="s">
        <v>130</v>
      </c>
      <c r="I54" s="78">
        <v>3</v>
      </c>
      <c r="J54" s="73">
        <v>0</v>
      </c>
      <c r="K54" s="78">
        <v>0</v>
      </c>
    </row>
    <row r="55" spans="1:11" x14ac:dyDescent="0.2">
      <c r="A55" s="74" t="s">
        <v>131</v>
      </c>
      <c r="B55" s="74">
        <v>4</v>
      </c>
      <c r="C55" s="73">
        <v>0</v>
      </c>
      <c r="D55" s="74">
        <v>0</v>
      </c>
      <c r="E55" s="74"/>
      <c r="F55" s="74"/>
      <c r="G55" s="74"/>
      <c r="H55" s="74" t="s">
        <v>131</v>
      </c>
      <c r="I55" s="78">
        <v>4</v>
      </c>
      <c r="J55" s="73">
        <v>0</v>
      </c>
      <c r="K55" s="78">
        <v>0</v>
      </c>
    </row>
    <row r="56" spans="1:11" x14ac:dyDescent="0.2">
      <c r="A56" s="74" t="s">
        <v>132</v>
      </c>
      <c r="B56" s="74">
        <v>5</v>
      </c>
      <c r="C56" s="73">
        <v>0</v>
      </c>
      <c r="D56" s="74">
        <v>0</v>
      </c>
      <c r="E56" s="74"/>
      <c r="F56" s="74"/>
      <c r="G56" s="74"/>
      <c r="H56" s="74" t="s">
        <v>132</v>
      </c>
      <c r="I56" s="78">
        <v>5</v>
      </c>
      <c r="J56" s="73">
        <v>0</v>
      </c>
      <c r="K56" s="78">
        <v>0</v>
      </c>
    </row>
    <row r="57" spans="1:11" x14ac:dyDescent="0.2">
      <c r="A57" s="74" t="s">
        <v>133</v>
      </c>
      <c r="B57" s="74">
        <v>6</v>
      </c>
      <c r="C57" s="73">
        <v>0</v>
      </c>
      <c r="D57" s="74">
        <v>0</v>
      </c>
      <c r="E57" s="74"/>
      <c r="F57" s="74"/>
      <c r="G57" s="74"/>
      <c r="H57" s="74" t="s">
        <v>133</v>
      </c>
      <c r="I57" s="78">
        <v>6</v>
      </c>
      <c r="J57" s="73">
        <v>0</v>
      </c>
      <c r="K57" s="78">
        <v>0</v>
      </c>
    </row>
    <row r="58" spans="1:11" x14ac:dyDescent="0.2">
      <c r="A58" s="74" t="s">
        <v>134</v>
      </c>
      <c r="B58" s="74">
        <v>7</v>
      </c>
      <c r="C58" s="73">
        <v>0</v>
      </c>
      <c r="D58" s="74">
        <v>0</v>
      </c>
      <c r="E58" s="74"/>
      <c r="F58" s="74"/>
      <c r="G58" s="74"/>
      <c r="H58" s="74" t="s">
        <v>134</v>
      </c>
      <c r="I58" s="78">
        <v>7</v>
      </c>
      <c r="J58" s="73">
        <v>0</v>
      </c>
      <c r="K58" s="78">
        <v>0</v>
      </c>
    </row>
    <row r="59" spans="1:11" x14ac:dyDescent="0.2">
      <c r="A59" s="74" t="s">
        <v>135</v>
      </c>
      <c r="B59" s="74">
        <v>8</v>
      </c>
      <c r="C59" s="73">
        <v>0</v>
      </c>
      <c r="D59" s="74">
        <v>0</v>
      </c>
      <c r="E59" s="74"/>
      <c r="F59" s="74"/>
      <c r="G59" s="74"/>
      <c r="H59" s="74" t="s">
        <v>135</v>
      </c>
      <c r="I59" s="78">
        <v>8</v>
      </c>
      <c r="J59" s="73">
        <v>0</v>
      </c>
      <c r="K59" s="78">
        <v>0</v>
      </c>
    </row>
    <row r="60" spans="1:11" x14ac:dyDescent="0.2">
      <c r="A60" s="74" t="s">
        <v>136</v>
      </c>
      <c r="B60" s="74">
        <v>9</v>
      </c>
      <c r="C60" s="73">
        <v>0</v>
      </c>
      <c r="D60" s="74">
        <v>0</v>
      </c>
      <c r="E60" s="74"/>
      <c r="F60" s="74"/>
      <c r="G60" s="74"/>
      <c r="H60" s="74" t="s">
        <v>136</v>
      </c>
      <c r="I60" s="78">
        <v>9</v>
      </c>
      <c r="J60" s="73">
        <v>0</v>
      </c>
      <c r="K60" s="78">
        <v>0</v>
      </c>
    </row>
    <row r="61" spans="1:11" x14ac:dyDescent="0.2">
      <c r="A61" s="74" t="s">
        <v>137</v>
      </c>
      <c r="B61" s="74">
        <v>10</v>
      </c>
      <c r="C61" s="73">
        <v>0</v>
      </c>
      <c r="D61" s="74">
        <v>0</v>
      </c>
      <c r="E61" s="74"/>
      <c r="F61" s="74"/>
      <c r="G61" s="74"/>
      <c r="H61" s="74" t="s">
        <v>137</v>
      </c>
      <c r="I61" s="78">
        <v>10</v>
      </c>
      <c r="J61" s="73">
        <v>0</v>
      </c>
      <c r="K61" s="78">
        <v>0</v>
      </c>
    </row>
    <row r="62" spans="1:11" x14ac:dyDescent="0.2">
      <c r="A62" s="74" t="s">
        <v>138</v>
      </c>
      <c r="B62" s="74">
        <v>11</v>
      </c>
      <c r="C62" s="73">
        <v>0</v>
      </c>
      <c r="D62" s="74">
        <v>0</v>
      </c>
      <c r="E62" s="74"/>
      <c r="F62" s="74"/>
      <c r="G62" s="74"/>
      <c r="H62" s="74" t="s">
        <v>138</v>
      </c>
      <c r="I62" s="78">
        <v>11</v>
      </c>
      <c r="J62" s="73">
        <v>0</v>
      </c>
      <c r="K62" s="78">
        <v>0</v>
      </c>
    </row>
    <row r="63" spans="1:11" x14ac:dyDescent="0.2">
      <c r="A63" s="72" t="s">
        <v>139</v>
      </c>
      <c r="B63" s="76">
        <v>1</v>
      </c>
      <c r="C63" s="73">
        <v>0</v>
      </c>
      <c r="D63" s="77">
        <v>0</v>
      </c>
      <c r="E63" s="74"/>
      <c r="F63" s="74"/>
      <c r="G63" s="74"/>
      <c r="H63" s="72" t="s">
        <v>220</v>
      </c>
      <c r="I63" s="79">
        <v>1</v>
      </c>
      <c r="J63" s="73">
        <v>0</v>
      </c>
      <c r="K63" s="80">
        <v>0</v>
      </c>
    </row>
    <row r="64" spans="1:11" x14ac:dyDescent="0.2">
      <c r="A64" s="74" t="s">
        <v>140</v>
      </c>
      <c r="B64" s="74">
        <v>2</v>
      </c>
      <c r="C64" s="73">
        <v>0</v>
      </c>
      <c r="D64" s="74">
        <v>0</v>
      </c>
      <c r="E64" s="74"/>
      <c r="F64" s="74"/>
      <c r="G64" s="74"/>
      <c r="H64" s="74" t="s">
        <v>140</v>
      </c>
      <c r="I64" s="78">
        <v>2</v>
      </c>
      <c r="J64" s="73">
        <v>0</v>
      </c>
      <c r="K64" s="78">
        <v>0</v>
      </c>
    </row>
    <row r="65" spans="1:11" x14ac:dyDescent="0.2">
      <c r="A65" s="74" t="s">
        <v>141</v>
      </c>
      <c r="B65" s="74">
        <v>3</v>
      </c>
      <c r="C65" s="73">
        <v>0</v>
      </c>
      <c r="D65" s="74">
        <v>0</v>
      </c>
      <c r="E65" s="74"/>
      <c r="F65" s="74"/>
      <c r="G65" s="74"/>
      <c r="H65" s="74" t="s">
        <v>141</v>
      </c>
      <c r="I65" s="78">
        <v>3</v>
      </c>
      <c r="J65" s="73">
        <v>0</v>
      </c>
      <c r="K65" s="78">
        <v>0</v>
      </c>
    </row>
    <row r="66" spans="1:11" x14ac:dyDescent="0.2">
      <c r="A66" s="74" t="s">
        <v>142</v>
      </c>
      <c r="B66" s="74">
        <v>4</v>
      </c>
      <c r="C66" s="73">
        <v>0</v>
      </c>
      <c r="D66" s="74">
        <v>0</v>
      </c>
      <c r="E66" s="74"/>
      <c r="F66" s="74"/>
      <c r="G66" s="74"/>
      <c r="H66" s="74" t="s">
        <v>142</v>
      </c>
      <c r="I66" s="78">
        <v>4</v>
      </c>
      <c r="J66" s="73">
        <v>0</v>
      </c>
      <c r="K66" s="78">
        <v>0</v>
      </c>
    </row>
    <row r="67" spans="1:11" x14ac:dyDescent="0.2">
      <c r="A67" s="74" t="s">
        <v>143</v>
      </c>
      <c r="B67" s="74">
        <v>5</v>
      </c>
      <c r="C67" s="73">
        <v>0</v>
      </c>
      <c r="D67" s="74">
        <v>0</v>
      </c>
      <c r="E67" s="74"/>
      <c r="F67" s="74"/>
      <c r="G67" s="74"/>
      <c r="H67" s="74" t="s">
        <v>143</v>
      </c>
      <c r="I67" s="78">
        <v>5</v>
      </c>
      <c r="J67" s="73">
        <v>0</v>
      </c>
      <c r="K67" s="78">
        <v>0</v>
      </c>
    </row>
    <row r="68" spans="1:11" x14ac:dyDescent="0.2">
      <c r="A68" s="74" t="s">
        <v>144</v>
      </c>
      <c r="B68" s="74">
        <v>6</v>
      </c>
      <c r="C68" s="73">
        <v>0</v>
      </c>
      <c r="D68" s="74">
        <v>0</v>
      </c>
      <c r="E68" s="74"/>
      <c r="F68" s="74"/>
      <c r="G68" s="74"/>
      <c r="H68" s="74" t="s">
        <v>144</v>
      </c>
      <c r="I68" s="78">
        <v>6</v>
      </c>
      <c r="J68" s="73">
        <v>0</v>
      </c>
      <c r="K68" s="78">
        <v>0</v>
      </c>
    </row>
    <row r="69" spans="1:11" x14ac:dyDescent="0.2">
      <c r="A69" s="74" t="s">
        <v>145</v>
      </c>
      <c r="B69" s="74">
        <v>7</v>
      </c>
      <c r="C69" s="73">
        <v>0</v>
      </c>
      <c r="D69" s="74">
        <v>0</v>
      </c>
      <c r="E69" s="74"/>
      <c r="F69" s="74"/>
      <c r="G69" s="74"/>
      <c r="H69" s="74" t="s">
        <v>145</v>
      </c>
      <c r="I69" s="78">
        <v>7</v>
      </c>
      <c r="J69" s="73">
        <v>0</v>
      </c>
      <c r="K69" s="78">
        <v>0</v>
      </c>
    </row>
    <row r="70" spans="1:11" x14ac:dyDescent="0.2">
      <c r="A70" s="74" t="s">
        <v>146</v>
      </c>
      <c r="B70" s="74">
        <v>8</v>
      </c>
      <c r="C70" s="73">
        <v>0</v>
      </c>
      <c r="D70" s="74">
        <v>0</v>
      </c>
      <c r="E70" s="74"/>
      <c r="F70" s="74"/>
      <c r="G70" s="74"/>
      <c r="H70" s="74" t="s">
        <v>146</v>
      </c>
      <c r="I70" s="78">
        <v>8</v>
      </c>
      <c r="J70" s="73">
        <v>0</v>
      </c>
      <c r="K70" s="78">
        <v>0</v>
      </c>
    </row>
    <row r="71" spans="1:11" x14ac:dyDescent="0.2">
      <c r="A71" s="74" t="s">
        <v>147</v>
      </c>
      <c r="B71" s="74">
        <v>9</v>
      </c>
      <c r="C71" s="73">
        <v>0</v>
      </c>
      <c r="D71" s="74">
        <v>0</v>
      </c>
      <c r="E71" s="74"/>
      <c r="F71" s="74"/>
      <c r="G71" s="74"/>
      <c r="H71" s="74" t="s">
        <v>147</v>
      </c>
      <c r="I71" s="78">
        <v>9</v>
      </c>
      <c r="J71" s="73">
        <v>0</v>
      </c>
      <c r="K71" s="78">
        <v>0</v>
      </c>
    </row>
    <row r="72" spans="1:11" x14ac:dyDescent="0.2">
      <c r="A72" s="74" t="s">
        <v>148</v>
      </c>
      <c r="B72" s="74">
        <v>10</v>
      </c>
      <c r="C72" s="73">
        <v>0</v>
      </c>
      <c r="D72" s="74">
        <v>0</v>
      </c>
      <c r="E72" s="74"/>
      <c r="F72" s="74"/>
      <c r="G72" s="74"/>
      <c r="H72" s="74" t="s">
        <v>148</v>
      </c>
      <c r="I72" s="78">
        <v>10</v>
      </c>
      <c r="J72" s="73">
        <v>0</v>
      </c>
      <c r="K72" s="78">
        <v>0</v>
      </c>
    </row>
    <row r="73" spans="1:11" x14ac:dyDescent="0.2">
      <c r="A73" s="74" t="s">
        <v>149</v>
      </c>
      <c r="B73" s="74">
        <v>11</v>
      </c>
      <c r="C73" s="73">
        <v>0</v>
      </c>
      <c r="D73" s="74">
        <v>0</v>
      </c>
      <c r="E73" s="74"/>
      <c r="F73" s="74"/>
      <c r="G73" s="74"/>
      <c r="H73" s="74" t="s">
        <v>149</v>
      </c>
      <c r="I73" s="78">
        <v>11</v>
      </c>
      <c r="J73" s="73">
        <v>0</v>
      </c>
      <c r="K73" s="78">
        <v>0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8" r:id="rId4" name="ToggleButton1">
          <controlPr defaultSize="0" autoLine="0" r:id="rId5">
            <anchor moveWithCells="1">
              <from>
                <xdr:col>12</xdr:col>
                <xdr:colOff>504825</xdr:colOff>
                <xdr:row>6</xdr:row>
                <xdr:rowOff>9525</xdr:rowOff>
              </from>
              <to>
                <xdr:col>13</xdr:col>
                <xdr:colOff>657225</xdr:colOff>
                <xdr:row>8</xdr:row>
                <xdr:rowOff>95250</xdr:rowOff>
              </to>
            </anchor>
          </controlPr>
        </control>
      </mc:Choice>
      <mc:Fallback>
        <control shapeId="1068" r:id="rId4" name="ToggleButton1"/>
      </mc:Fallback>
    </mc:AlternateContent>
    <mc:AlternateContent xmlns:mc="http://schemas.openxmlformats.org/markup-compatibility/2006">
      <mc:Choice Requires="x14">
        <control shapeId="1064" r:id="rId6" name="ComboBox20">
          <controlPr defaultSize="0" autoLine="0" autoPict="0" r:id="rId7">
            <anchor moveWithCells="1">
              <from>
                <xdr:col>16</xdr:col>
                <xdr:colOff>19050</xdr:colOff>
                <xdr:row>12</xdr:row>
                <xdr:rowOff>171450</xdr:rowOff>
              </from>
              <to>
                <xdr:col>16</xdr:col>
                <xdr:colOff>847725</xdr:colOff>
                <xdr:row>14</xdr:row>
                <xdr:rowOff>38100</xdr:rowOff>
              </to>
            </anchor>
          </controlPr>
        </control>
      </mc:Choice>
      <mc:Fallback>
        <control shapeId="1064" r:id="rId6" name="ComboBox20"/>
      </mc:Fallback>
    </mc:AlternateContent>
    <mc:AlternateContent xmlns:mc="http://schemas.openxmlformats.org/markup-compatibility/2006">
      <mc:Choice Requires="x14">
        <control shapeId="1063" r:id="rId8" name="ComboBox19">
          <controlPr defaultSize="0" autoLine="0" autoPict="0" r:id="rId7">
            <anchor moveWithCells="1">
              <from>
                <xdr:col>16</xdr:col>
                <xdr:colOff>19050</xdr:colOff>
                <xdr:row>11</xdr:row>
                <xdr:rowOff>19050</xdr:rowOff>
              </from>
              <to>
                <xdr:col>16</xdr:col>
                <xdr:colOff>847725</xdr:colOff>
                <xdr:row>12</xdr:row>
                <xdr:rowOff>66675</xdr:rowOff>
              </to>
            </anchor>
          </controlPr>
        </control>
      </mc:Choice>
      <mc:Fallback>
        <control shapeId="1063" r:id="rId8" name="ComboBox19"/>
      </mc:Fallback>
    </mc:AlternateContent>
    <mc:AlternateContent xmlns:mc="http://schemas.openxmlformats.org/markup-compatibility/2006">
      <mc:Choice Requires="x14">
        <control shapeId="1062" r:id="rId9" name="ComboBox18">
          <controlPr defaultSize="0" autoLine="0" autoPict="0" r:id="rId7">
            <anchor moveWithCells="1">
              <from>
                <xdr:col>16</xdr:col>
                <xdr:colOff>9525</xdr:colOff>
                <xdr:row>9</xdr:row>
                <xdr:rowOff>9525</xdr:rowOff>
              </from>
              <to>
                <xdr:col>16</xdr:col>
                <xdr:colOff>838200</xdr:colOff>
                <xdr:row>10</xdr:row>
                <xdr:rowOff>57150</xdr:rowOff>
              </to>
            </anchor>
          </controlPr>
        </control>
      </mc:Choice>
      <mc:Fallback>
        <control shapeId="1062" r:id="rId9" name="ComboBox18"/>
      </mc:Fallback>
    </mc:AlternateContent>
    <mc:AlternateContent xmlns:mc="http://schemas.openxmlformats.org/markup-compatibility/2006">
      <mc:Choice Requires="x14">
        <control shapeId="1061" r:id="rId10" name="ComboBox17">
          <controlPr defaultSize="0" autoLine="0" autoPict="0" r:id="rId7">
            <anchor moveWithCells="1">
              <from>
                <xdr:col>16</xdr:col>
                <xdr:colOff>19050</xdr:colOff>
                <xdr:row>7</xdr:row>
                <xdr:rowOff>0</xdr:rowOff>
              </from>
              <to>
                <xdr:col>16</xdr:col>
                <xdr:colOff>847725</xdr:colOff>
                <xdr:row>8</xdr:row>
                <xdr:rowOff>47625</xdr:rowOff>
              </to>
            </anchor>
          </controlPr>
        </control>
      </mc:Choice>
      <mc:Fallback>
        <control shapeId="1061" r:id="rId10" name="ComboBox17"/>
      </mc:Fallback>
    </mc:AlternateContent>
    <mc:AlternateContent xmlns:mc="http://schemas.openxmlformats.org/markup-compatibility/2006">
      <mc:Choice Requires="x14">
        <control shapeId="1060" r:id="rId11" name="ComboBox16">
          <controlPr defaultSize="0" autoLine="0" autoPict="0" r:id="rId12">
            <anchor moveWithCells="1">
              <from>
                <xdr:col>16</xdr:col>
                <xdr:colOff>9525</xdr:colOff>
                <xdr:row>5</xdr:row>
                <xdr:rowOff>9525</xdr:rowOff>
              </from>
              <to>
                <xdr:col>16</xdr:col>
                <xdr:colOff>838200</xdr:colOff>
                <xdr:row>6</xdr:row>
                <xdr:rowOff>57150</xdr:rowOff>
              </to>
            </anchor>
          </controlPr>
        </control>
      </mc:Choice>
      <mc:Fallback>
        <control shapeId="1060" r:id="rId11" name="ComboBox16"/>
      </mc:Fallback>
    </mc:AlternateContent>
    <mc:AlternateContent xmlns:mc="http://schemas.openxmlformats.org/markup-compatibility/2006">
      <mc:Choice Requires="x14">
        <control shapeId="1059" r:id="rId13" name="ComboBox15">
          <controlPr defaultSize="0" autoLine="0" autoPict="0" r:id="rId7">
            <anchor moveWithCells="1">
              <from>
                <xdr:col>16</xdr:col>
                <xdr:colOff>9525</xdr:colOff>
                <xdr:row>3</xdr:row>
                <xdr:rowOff>0</xdr:rowOff>
              </from>
              <to>
                <xdr:col>16</xdr:col>
                <xdr:colOff>838200</xdr:colOff>
                <xdr:row>4</xdr:row>
                <xdr:rowOff>47625</xdr:rowOff>
              </to>
            </anchor>
          </controlPr>
        </control>
      </mc:Choice>
      <mc:Fallback>
        <control shapeId="1059" r:id="rId13" name="ComboBox15"/>
      </mc:Fallback>
    </mc:AlternateContent>
    <mc:AlternateContent xmlns:mc="http://schemas.openxmlformats.org/markup-compatibility/2006">
      <mc:Choice Requires="x14">
        <control shapeId="1058" r:id="rId14" name="ComboBox14">
          <controlPr defaultSize="0" autoLine="0" autoPict="0" r:id="rId15">
            <anchor moveWithCells="1">
              <from>
                <xdr:col>14</xdr:col>
                <xdr:colOff>9525</xdr:colOff>
                <xdr:row>13</xdr:row>
                <xdr:rowOff>0</xdr:rowOff>
              </from>
              <to>
                <xdr:col>15</xdr:col>
                <xdr:colOff>19050</xdr:colOff>
                <xdr:row>14</xdr:row>
                <xdr:rowOff>47625</xdr:rowOff>
              </to>
            </anchor>
          </controlPr>
        </control>
      </mc:Choice>
      <mc:Fallback>
        <control shapeId="1058" r:id="rId14" name="ComboBox14"/>
      </mc:Fallback>
    </mc:AlternateContent>
    <mc:AlternateContent xmlns:mc="http://schemas.openxmlformats.org/markup-compatibility/2006">
      <mc:Choice Requires="x14">
        <control shapeId="1057" r:id="rId16" name="ComboBox13">
          <controlPr defaultSize="0" autoLine="0" autoPict="0" r:id="rId15">
            <anchor moveWithCells="1">
              <from>
                <xdr:col>14</xdr:col>
                <xdr:colOff>0</xdr:colOff>
                <xdr:row>11</xdr:row>
                <xdr:rowOff>9525</xdr:rowOff>
              </from>
              <to>
                <xdr:col>15</xdr:col>
                <xdr:colOff>9525</xdr:colOff>
                <xdr:row>12</xdr:row>
                <xdr:rowOff>57150</xdr:rowOff>
              </to>
            </anchor>
          </controlPr>
        </control>
      </mc:Choice>
      <mc:Fallback>
        <control shapeId="1057" r:id="rId16" name="ComboBox13"/>
      </mc:Fallback>
    </mc:AlternateContent>
    <mc:AlternateContent xmlns:mc="http://schemas.openxmlformats.org/markup-compatibility/2006">
      <mc:Choice Requires="x14">
        <control shapeId="1056" r:id="rId17" name="ComboBox12">
          <controlPr defaultSize="0" autoLine="0" r:id="rId15">
            <anchor moveWithCells="1">
              <from>
                <xdr:col>14</xdr:col>
                <xdr:colOff>19050</xdr:colOff>
                <xdr:row>8</xdr:row>
                <xdr:rowOff>171450</xdr:rowOff>
              </from>
              <to>
                <xdr:col>15</xdr:col>
                <xdr:colOff>28575</xdr:colOff>
                <xdr:row>10</xdr:row>
                <xdr:rowOff>38100</xdr:rowOff>
              </to>
            </anchor>
          </controlPr>
        </control>
      </mc:Choice>
      <mc:Fallback>
        <control shapeId="1056" r:id="rId17" name="ComboBox12"/>
      </mc:Fallback>
    </mc:AlternateContent>
    <mc:AlternateContent xmlns:mc="http://schemas.openxmlformats.org/markup-compatibility/2006">
      <mc:Choice Requires="x14">
        <control shapeId="1055" r:id="rId18" name="ComboBox11">
          <controlPr defaultSize="0" autoLine="0" autoPict="0" r:id="rId15">
            <anchor moveWithCells="1">
              <from>
                <xdr:col>14</xdr:col>
                <xdr:colOff>9525</xdr:colOff>
                <xdr:row>6</xdr:row>
                <xdr:rowOff>171450</xdr:rowOff>
              </from>
              <to>
                <xdr:col>15</xdr:col>
                <xdr:colOff>19050</xdr:colOff>
                <xdr:row>8</xdr:row>
                <xdr:rowOff>38100</xdr:rowOff>
              </to>
            </anchor>
          </controlPr>
        </control>
      </mc:Choice>
      <mc:Fallback>
        <control shapeId="1055" r:id="rId18" name="ComboBox11"/>
      </mc:Fallback>
    </mc:AlternateContent>
    <mc:AlternateContent xmlns:mc="http://schemas.openxmlformats.org/markup-compatibility/2006">
      <mc:Choice Requires="x14">
        <control shapeId="1054" r:id="rId19" name="ComboBox10">
          <controlPr defaultSize="0" autoLine="0" autoPict="0" r:id="rId15">
            <anchor moveWithCells="1">
              <from>
                <xdr:col>14</xdr:col>
                <xdr:colOff>19050</xdr:colOff>
                <xdr:row>5</xdr:row>
                <xdr:rowOff>9525</xdr:rowOff>
              </from>
              <to>
                <xdr:col>15</xdr:col>
                <xdr:colOff>28575</xdr:colOff>
                <xdr:row>6</xdr:row>
                <xdr:rowOff>57150</xdr:rowOff>
              </to>
            </anchor>
          </controlPr>
        </control>
      </mc:Choice>
      <mc:Fallback>
        <control shapeId="1054" r:id="rId19" name="ComboBox10"/>
      </mc:Fallback>
    </mc:AlternateContent>
    <mc:AlternateContent xmlns:mc="http://schemas.openxmlformats.org/markup-compatibility/2006">
      <mc:Choice Requires="x14">
        <control shapeId="1053" r:id="rId20" name="ComboBox9">
          <controlPr defaultSize="0" autoLine="0" autoPict="0" r:id="rId21">
            <anchor moveWithCells="1">
              <from>
                <xdr:col>14</xdr:col>
                <xdr:colOff>19050</xdr:colOff>
                <xdr:row>2</xdr:row>
                <xdr:rowOff>180975</xdr:rowOff>
              </from>
              <to>
                <xdr:col>15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1053" r:id="rId20" name="ComboBox9"/>
      </mc:Fallback>
    </mc:AlternateContent>
    <mc:AlternateContent xmlns:mc="http://schemas.openxmlformats.org/markup-compatibility/2006">
      <mc:Choice Requires="x14">
        <control shapeId="1044" r:id="rId22" name="CommandButton1">
          <controlPr defaultSize="0" autoLine="0" r:id="rId23">
            <anchor moveWithCells="1">
              <from>
                <xdr:col>12</xdr:col>
                <xdr:colOff>504825</xdr:colOff>
                <xdr:row>14</xdr:row>
                <xdr:rowOff>28575</xdr:rowOff>
              </from>
              <to>
                <xdr:col>13</xdr:col>
                <xdr:colOff>666750</xdr:colOff>
                <xdr:row>16</xdr:row>
                <xdr:rowOff>114300</xdr:rowOff>
              </to>
            </anchor>
          </controlPr>
        </control>
      </mc:Choice>
      <mc:Fallback>
        <control shapeId="1044" r:id="rId22" name="CommandButton1"/>
      </mc:Fallback>
    </mc:AlternateContent>
    <mc:AlternateContent xmlns:mc="http://schemas.openxmlformats.org/markup-compatibility/2006">
      <mc:Choice Requires="x14">
        <control shapeId="1043" r:id="rId24" name="ComboBox8">
          <controlPr defaultSize="0" autoLine="0" r:id="rId25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38100</xdr:colOff>
                <xdr:row>5</xdr:row>
                <xdr:rowOff>38100</xdr:rowOff>
              </to>
            </anchor>
          </controlPr>
        </control>
      </mc:Choice>
      <mc:Fallback>
        <control shapeId="1043" r:id="rId24" name="ComboBox8"/>
      </mc:Fallback>
    </mc:AlternateContent>
    <mc:AlternateContent xmlns:mc="http://schemas.openxmlformats.org/markup-compatibility/2006">
      <mc:Choice Requires="x14">
        <control shapeId="1042" r:id="rId26" name="ComboBox7">
          <controlPr defaultSize="0" autoLine="0" r:id="rId25">
            <anchor moveWithCells="1">
              <from>
                <xdr:col>8</xdr:col>
                <xdr:colOff>0</xdr:colOff>
                <xdr:row>3</xdr:row>
                <xdr:rowOff>9525</xdr:rowOff>
              </from>
              <to>
                <xdr:col>9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1042" r:id="rId26" name="ComboBox7"/>
      </mc:Fallback>
    </mc:AlternateContent>
    <mc:AlternateContent xmlns:mc="http://schemas.openxmlformats.org/markup-compatibility/2006">
      <mc:Choice Requires="x14">
        <control shapeId="1041" r:id="rId27" name="ComboBox6">
          <controlPr defaultSize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38100</xdr:colOff>
                <xdr:row>3</xdr:row>
                <xdr:rowOff>28575</xdr:rowOff>
              </to>
            </anchor>
          </controlPr>
        </control>
      </mc:Choice>
      <mc:Fallback>
        <control shapeId="1041" r:id="rId27" name="ComboBox6"/>
      </mc:Fallback>
    </mc:AlternateContent>
    <mc:AlternateContent xmlns:mc="http://schemas.openxmlformats.org/markup-compatibility/2006">
      <mc:Choice Requires="x14">
        <control shapeId="1040" r:id="rId28" name="ComboBox5">
          <controlPr defaultSize="0" autoLine="0" r:id="rId29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1040" r:id="rId28" name="ComboBox5"/>
      </mc:Fallback>
    </mc:AlternateContent>
    <mc:AlternateContent xmlns:mc="http://schemas.openxmlformats.org/markup-compatibility/2006">
      <mc:Choice Requires="x14">
        <control shapeId="1037" r:id="rId30" name="ComboBox4">
          <controlPr defaultSize="0" autoLine="0" r:id="rId31">
            <anchor moveWithCells="1">
              <from>
                <xdr:col>1</xdr:col>
                <xdr:colOff>0</xdr:colOff>
                <xdr:row>4</xdr:row>
                <xdr:rowOff>19050</xdr:rowOff>
              </from>
              <to>
                <xdr:col>2</xdr:col>
                <xdr:colOff>38100</xdr:colOff>
                <xdr:row>5</xdr:row>
                <xdr:rowOff>38100</xdr:rowOff>
              </to>
            </anchor>
          </controlPr>
        </control>
      </mc:Choice>
      <mc:Fallback>
        <control shapeId="1037" r:id="rId30" name="ComboBox4"/>
      </mc:Fallback>
    </mc:AlternateContent>
    <mc:AlternateContent xmlns:mc="http://schemas.openxmlformats.org/markup-compatibility/2006">
      <mc:Choice Requires="x14">
        <control shapeId="1036" r:id="rId32" name="ComboBox3">
          <controlPr defaultSize="0" autoLine="0" r:id="rId31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1036" r:id="rId32" name="ComboBox3"/>
      </mc:Fallback>
    </mc:AlternateContent>
    <mc:AlternateContent xmlns:mc="http://schemas.openxmlformats.org/markup-compatibility/2006">
      <mc:Choice Requires="x14">
        <control shapeId="1035" r:id="rId33" name="ComboBox2">
          <controlPr defaultSize="0" autoLine="0" r:id="rId31">
            <anchor moveWithCells="1">
              <from>
                <xdr:col>1</xdr:col>
                <xdr:colOff>0</xdr:colOff>
                <xdr:row>2</xdr:row>
                <xdr:rowOff>9525</xdr:rowOff>
              </from>
              <to>
                <xdr:col>2</xdr:col>
                <xdr:colOff>38100</xdr:colOff>
                <xdr:row>3</xdr:row>
                <xdr:rowOff>28575</xdr:rowOff>
              </to>
            </anchor>
          </controlPr>
        </control>
      </mc:Choice>
      <mc:Fallback>
        <control shapeId="1035" r:id="rId33" name="ComboBox2"/>
      </mc:Fallback>
    </mc:AlternateContent>
    <mc:AlternateContent xmlns:mc="http://schemas.openxmlformats.org/markup-compatibility/2006">
      <mc:Choice Requires="x14">
        <control shapeId="1030" r:id="rId34" name="ComboBox1">
          <controlPr defaultSize="0" autoLine="0" r:id="rId3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1030" r:id="rId34" name="ComboBox1"/>
      </mc:Fallback>
    </mc:AlternateContent>
    <mc:AlternateContent xmlns:mc="http://schemas.openxmlformats.org/markup-compatibility/2006">
      <mc:Choice Requires="x14">
        <control shapeId="1045" r:id="rId36" name="TextBox1">
          <controlPr defaultSize="0" autoLine="0" r:id="rId37">
            <anchor moveWithCells="1">
              <from>
                <xdr:col>13</xdr:col>
                <xdr:colOff>38100</xdr:colOff>
                <xdr:row>30</xdr:row>
                <xdr:rowOff>104775</xdr:rowOff>
              </from>
              <to>
                <xdr:col>26</xdr:col>
                <xdr:colOff>400050</xdr:colOff>
                <xdr:row>51</xdr:row>
                <xdr:rowOff>57150</xdr:rowOff>
              </to>
            </anchor>
          </controlPr>
        </control>
      </mc:Choice>
      <mc:Fallback>
        <control shapeId="1045" r:id="rId36" name="TextBox1"/>
      </mc:Fallback>
    </mc:AlternateContent>
    <mc:AlternateContent xmlns:mc="http://schemas.openxmlformats.org/markup-compatibility/2006">
      <mc:Choice Requires="x14">
        <control shapeId="1065" r:id="rId38" name="CommandButton2">
          <controlPr defaultSize="0" autoLine="0" r:id="rId39">
            <anchor moveWithCells="1">
              <from>
                <xdr:col>12</xdr:col>
                <xdr:colOff>504825</xdr:colOff>
                <xdr:row>10</xdr:row>
                <xdr:rowOff>19050</xdr:rowOff>
              </from>
              <to>
                <xdr:col>13</xdr:col>
                <xdr:colOff>657225</xdr:colOff>
                <xdr:row>12</xdr:row>
                <xdr:rowOff>104775</xdr:rowOff>
              </to>
            </anchor>
          </controlPr>
        </control>
      </mc:Choice>
      <mc:Fallback>
        <control shapeId="1065" r:id="rId3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0D87C-325E-4FBB-AAAD-07608E24C5C2}">
  <sheetPr codeName="Sheet6"/>
  <dimension ref="A1:S70"/>
  <sheetViews>
    <sheetView zoomScaleNormal="100" workbookViewId="0">
      <selection activeCell="A2" sqref="A2"/>
    </sheetView>
  </sheetViews>
  <sheetFormatPr defaultRowHeight="14.25" x14ac:dyDescent="0.2"/>
  <cols>
    <col min="1" max="16384" width="9" style="24"/>
  </cols>
  <sheetData>
    <row r="1" spans="1:1" x14ac:dyDescent="0.2">
      <c r="A1" s="24" t="s">
        <v>224</v>
      </c>
    </row>
    <row r="55" spans="2:19" ht="23.25" x14ac:dyDescent="0.2"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</row>
    <row r="56" spans="2:19" ht="23.25" x14ac:dyDescent="0.2"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</row>
    <row r="57" spans="2:19" ht="23.25" x14ac:dyDescent="0.2"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</row>
    <row r="58" spans="2:19" ht="23.25" x14ac:dyDescent="0.2"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</row>
    <row r="59" spans="2:19" ht="23.25" x14ac:dyDescent="0.2"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</row>
    <row r="60" spans="2:19" ht="23.25" x14ac:dyDescent="0.2"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</row>
    <row r="61" spans="2:19" ht="23.25" x14ac:dyDescent="0.2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</row>
    <row r="62" spans="2:19" ht="23.25" x14ac:dyDescent="0.2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</row>
    <row r="63" spans="2:19" ht="23.25" x14ac:dyDescent="0.2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</row>
    <row r="64" spans="2:19" ht="23.25" x14ac:dyDescent="0.2"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</row>
    <row r="65" spans="2:19" ht="23.25" x14ac:dyDescent="0.2"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</row>
    <row r="66" spans="2:19" ht="23.25" x14ac:dyDescent="0.2"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</row>
    <row r="67" spans="2:19" ht="23.25" x14ac:dyDescent="0.2"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</row>
    <row r="68" spans="2:19" ht="23.25" x14ac:dyDescent="0.2"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</row>
    <row r="69" spans="2:19" ht="23.25" x14ac:dyDescent="0.2"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2:19" ht="23.25" x14ac:dyDescent="0.2"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F1EBE-C608-4EB3-875E-FDAAB9B1DE96}">
  <sheetPr codeName="Sheet5"/>
  <dimension ref="A1:A5"/>
  <sheetViews>
    <sheetView tabSelected="1" workbookViewId="0">
      <selection activeCell="H31" sqref="H31"/>
    </sheetView>
  </sheetViews>
  <sheetFormatPr defaultRowHeight="14.25" x14ac:dyDescent="0.2"/>
  <sheetData>
    <row r="1" spans="1:1" x14ac:dyDescent="0.2">
      <c r="A1" t="s">
        <v>224</v>
      </c>
    </row>
    <row r="3" spans="1:1" x14ac:dyDescent="0.2">
      <c r="A3" s="23"/>
    </row>
    <row r="4" spans="1:1" x14ac:dyDescent="0.2">
      <c r="A4" s="23"/>
    </row>
    <row r="5" spans="1:1" x14ac:dyDescent="0.2">
      <c r="A5" s="23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43E2D-5A3C-4347-904E-90A29DB96BF2}">
  <sheetPr codeName="Sheet8"/>
  <dimension ref="A1:X53"/>
  <sheetViews>
    <sheetView workbookViewId="0">
      <selection activeCell="H38" sqref="H38"/>
    </sheetView>
  </sheetViews>
  <sheetFormatPr defaultColWidth="9" defaultRowHeight="14.25" x14ac:dyDescent="0.2"/>
  <cols>
    <col min="1" max="1" width="8.625" style="33" customWidth="1"/>
    <col min="2" max="3" width="8.5" style="33" customWidth="1"/>
    <col min="4" max="4" width="8.5" style="40" customWidth="1"/>
    <col min="5" max="5" width="8.625" style="33" customWidth="1"/>
    <col min="6" max="7" width="8.5" style="33" customWidth="1"/>
    <col min="8" max="16384" width="9" style="33"/>
  </cols>
  <sheetData>
    <row r="1" spans="1:24" s="40" customFormat="1" x14ac:dyDescent="0.2">
      <c r="A1" s="43" t="s">
        <v>59</v>
      </c>
      <c r="B1" s="43" t="s">
        <v>60</v>
      </c>
      <c r="C1" s="43" t="s">
        <v>58</v>
      </c>
      <c r="D1" s="43" t="s">
        <v>57</v>
      </c>
      <c r="E1" s="43"/>
      <c r="F1" s="43" t="s">
        <v>60</v>
      </c>
      <c r="G1" s="43" t="s">
        <v>58</v>
      </c>
      <c r="H1" s="43" t="s">
        <v>57</v>
      </c>
      <c r="I1" s="43"/>
      <c r="J1" s="43" t="s">
        <v>60</v>
      </c>
      <c r="K1" s="43" t="s">
        <v>58</v>
      </c>
      <c r="L1" s="43" t="s">
        <v>57</v>
      </c>
      <c r="M1" s="43"/>
      <c r="N1" s="43" t="s">
        <v>60</v>
      </c>
      <c r="O1" s="43" t="s">
        <v>58</v>
      </c>
      <c r="P1" s="43" t="s">
        <v>57</v>
      </c>
      <c r="Q1" s="43"/>
      <c r="R1" s="43" t="s">
        <v>60</v>
      </c>
      <c r="S1" s="43" t="s">
        <v>58</v>
      </c>
      <c r="T1" s="43" t="s">
        <v>57</v>
      </c>
      <c r="U1" s="43"/>
      <c r="V1" s="43" t="s">
        <v>60</v>
      </c>
      <c r="W1" s="43" t="s">
        <v>58</v>
      </c>
      <c r="X1" s="43" t="s">
        <v>57</v>
      </c>
    </row>
    <row r="2" spans="1:24" x14ac:dyDescent="0.2">
      <c r="A2" s="82" t="s">
        <v>199</v>
      </c>
      <c r="B2" s="34" t="s">
        <v>2</v>
      </c>
      <c r="C2" s="34">
        <v>0.01</v>
      </c>
      <c r="D2" s="34"/>
      <c r="E2" s="82" t="s">
        <v>200</v>
      </c>
      <c r="F2" s="34" t="s">
        <v>2</v>
      </c>
      <c r="G2" s="34">
        <v>0.01</v>
      </c>
      <c r="H2" s="34"/>
      <c r="I2" s="82" t="s">
        <v>201</v>
      </c>
      <c r="J2" s="34" t="s">
        <v>2</v>
      </c>
      <c r="K2" s="34">
        <v>0.01</v>
      </c>
      <c r="L2" s="34"/>
      <c r="M2" s="82" t="s">
        <v>202</v>
      </c>
      <c r="N2" s="34" t="s">
        <v>2</v>
      </c>
      <c r="O2" s="34">
        <v>0.01</v>
      </c>
      <c r="P2" s="34"/>
      <c r="Q2" s="82" t="s">
        <v>203</v>
      </c>
      <c r="R2" s="34" t="s">
        <v>2</v>
      </c>
      <c r="S2" s="34">
        <v>0.01</v>
      </c>
      <c r="T2" s="34"/>
      <c r="U2" s="82" t="s">
        <v>204</v>
      </c>
      <c r="V2" s="34" t="s">
        <v>2</v>
      </c>
      <c r="W2" s="34">
        <v>0.01</v>
      </c>
      <c r="X2" s="34"/>
    </row>
    <row r="3" spans="1:24" x14ac:dyDescent="0.2">
      <c r="A3" s="82"/>
      <c r="B3" s="34" t="s">
        <v>4</v>
      </c>
      <c r="C3" s="34">
        <v>0.01</v>
      </c>
      <c r="D3" s="34"/>
      <c r="E3" s="82"/>
      <c r="F3" s="34" t="s">
        <v>4</v>
      </c>
      <c r="G3" s="34">
        <v>0.01</v>
      </c>
      <c r="H3" s="34"/>
      <c r="I3" s="82"/>
      <c r="J3" s="34" t="s">
        <v>4</v>
      </c>
      <c r="K3" s="34">
        <v>0.01</v>
      </c>
      <c r="L3" s="34"/>
      <c r="M3" s="82"/>
      <c r="N3" s="34" t="s">
        <v>4</v>
      </c>
      <c r="O3" s="34">
        <v>0.01</v>
      </c>
      <c r="P3" s="34"/>
      <c r="Q3" s="82"/>
      <c r="R3" s="34" t="s">
        <v>4</v>
      </c>
      <c r="S3" s="34">
        <v>0.01</v>
      </c>
      <c r="T3" s="34"/>
      <c r="U3" s="82"/>
      <c r="V3" s="34" t="s">
        <v>4</v>
      </c>
      <c r="W3" s="34">
        <v>0.01</v>
      </c>
      <c r="X3" s="34"/>
    </row>
    <row r="4" spans="1:24" x14ac:dyDescent="0.2">
      <c r="A4" s="82"/>
      <c r="B4" s="34" t="s">
        <v>3</v>
      </c>
      <c r="C4" s="34">
        <v>0.01</v>
      </c>
      <c r="D4" s="34"/>
      <c r="E4" s="82"/>
      <c r="F4" s="34" t="s">
        <v>3</v>
      </c>
      <c r="G4" s="34">
        <v>0.01</v>
      </c>
      <c r="H4" s="34"/>
      <c r="I4" s="82"/>
      <c r="J4" s="34" t="s">
        <v>3</v>
      </c>
      <c r="K4" s="34">
        <v>0.01</v>
      </c>
      <c r="L4" s="34"/>
      <c r="M4" s="82"/>
      <c r="N4" s="34" t="s">
        <v>3</v>
      </c>
      <c r="O4" s="34">
        <v>0.01</v>
      </c>
      <c r="P4" s="34"/>
      <c r="Q4" s="82"/>
      <c r="R4" s="34" t="s">
        <v>3</v>
      </c>
      <c r="S4" s="34">
        <v>0.01</v>
      </c>
      <c r="T4" s="34"/>
      <c r="U4" s="82"/>
      <c r="V4" s="34" t="s">
        <v>3</v>
      </c>
      <c r="W4" s="34">
        <v>0.01</v>
      </c>
      <c r="X4" s="34"/>
    </row>
    <row r="5" spans="1:24" x14ac:dyDescent="0.2">
      <c r="A5" s="82"/>
      <c r="B5" s="34" t="s">
        <v>46</v>
      </c>
      <c r="C5" s="34">
        <v>0.02</v>
      </c>
      <c r="D5" s="34"/>
      <c r="E5" s="82"/>
      <c r="F5" s="34" t="s">
        <v>46</v>
      </c>
      <c r="G5" s="34">
        <v>0.02</v>
      </c>
      <c r="H5" s="34"/>
      <c r="I5" s="82"/>
      <c r="J5" s="34" t="s">
        <v>46</v>
      </c>
      <c r="K5" s="34">
        <v>0.02</v>
      </c>
      <c r="L5" s="34"/>
      <c r="M5" s="82"/>
      <c r="N5" s="34" t="s">
        <v>46</v>
      </c>
      <c r="O5" s="34">
        <v>0.02</v>
      </c>
      <c r="P5" s="34"/>
      <c r="Q5" s="82"/>
      <c r="R5" s="34" t="s">
        <v>46</v>
      </c>
      <c r="S5" s="34">
        <v>0.02</v>
      </c>
      <c r="T5" s="34"/>
      <c r="U5" s="82"/>
      <c r="V5" s="34" t="s">
        <v>46</v>
      </c>
      <c r="W5" s="34">
        <v>0.02</v>
      </c>
      <c r="X5" s="34"/>
    </row>
    <row r="6" spans="1:24" x14ac:dyDescent="0.2">
      <c r="A6" s="82"/>
      <c r="B6" s="34" t="s">
        <v>47</v>
      </c>
      <c r="C6" s="34">
        <v>0.02</v>
      </c>
      <c r="D6" s="34"/>
      <c r="E6" s="82"/>
      <c r="F6" s="34" t="s">
        <v>47</v>
      </c>
      <c r="G6" s="34">
        <v>0.02</v>
      </c>
      <c r="H6" s="34"/>
      <c r="I6" s="82"/>
      <c r="J6" s="34" t="s">
        <v>47</v>
      </c>
      <c r="K6" s="34">
        <v>0.02</v>
      </c>
      <c r="L6" s="34"/>
      <c r="M6" s="82"/>
      <c r="N6" s="34" t="s">
        <v>47</v>
      </c>
      <c r="O6" s="34">
        <v>0.02</v>
      </c>
      <c r="P6" s="34"/>
      <c r="Q6" s="82"/>
      <c r="R6" s="34" t="s">
        <v>47</v>
      </c>
      <c r="S6" s="34">
        <v>0.02</v>
      </c>
      <c r="T6" s="34"/>
      <c r="U6" s="82"/>
      <c r="V6" s="34" t="s">
        <v>47</v>
      </c>
      <c r="W6" s="34">
        <v>0.02</v>
      </c>
      <c r="X6" s="34"/>
    </row>
    <row r="7" spans="1:24" x14ac:dyDescent="0.2">
      <c r="A7" s="82"/>
      <c r="B7" s="34" t="s">
        <v>45</v>
      </c>
      <c r="C7" s="34">
        <v>0.01</v>
      </c>
      <c r="D7" s="34"/>
      <c r="E7" s="82"/>
      <c r="F7" s="34" t="s">
        <v>45</v>
      </c>
      <c r="G7" s="34">
        <v>0.01</v>
      </c>
      <c r="H7" s="34"/>
      <c r="I7" s="82"/>
      <c r="J7" s="34" t="s">
        <v>45</v>
      </c>
      <c r="K7" s="34">
        <v>0.01</v>
      </c>
      <c r="L7" s="34"/>
      <c r="M7" s="82"/>
      <c r="N7" s="34" t="s">
        <v>45</v>
      </c>
      <c r="O7" s="34">
        <v>0.01</v>
      </c>
      <c r="P7" s="34"/>
      <c r="Q7" s="82"/>
      <c r="R7" s="34" t="s">
        <v>45</v>
      </c>
      <c r="S7" s="34">
        <v>0.01</v>
      </c>
      <c r="T7" s="34"/>
      <c r="U7" s="82"/>
      <c r="V7" s="34" t="s">
        <v>45</v>
      </c>
      <c r="W7" s="34">
        <v>0.01</v>
      </c>
      <c r="X7" s="34"/>
    </row>
    <row r="8" spans="1:24" x14ac:dyDescent="0.2">
      <c r="A8" s="82"/>
      <c r="B8" s="34" t="s">
        <v>38</v>
      </c>
      <c r="C8" s="34">
        <v>0.01</v>
      </c>
      <c r="D8" s="34"/>
      <c r="E8" s="82"/>
      <c r="F8" s="34" t="s">
        <v>38</v>
      </c>
      <c r="G8" s="34">
        <v>0.01</v>
      </c>
      <c r="H8" s="34"/>
      <c r="I8" s="82"/>
      <c r="J8" s="34" t="s">
        <v>38</v>
      </c>
      <c r="K8" s="34">
        <v>0.01</v>
      </c>
      <c r="L8" s="34"/>
      <c r="M8" s="82"/>
      <c r="N8" s="34" t="s">
        <v>38</v>
      </c>
      <c r="O8" s="34">
        <v>0.01</v>
      </c>
      <c r="P8" s="34"/>
      <c r="Q8" s="82"/>
      <c r="R8" s="34" t="s">
        <v>38</v>
      </c>
      <c r="S8" s="34">
        <v>0.01</v>
      </c>
      <c r="T8" s="34"/>
      <c r="U8" s="82"/>
      <c r="V8" s="34" t="s">
        <v>38</v>
      </c>
      <c r="W8" s="34">
        <v>0.01</v>
      </c>
      <c r="X8" s="34"/>
    </row>
    <row r="9" spans="1:24" x14ac:dyDescent="0.2">
      <c r="A9" s="82"/>
      <c r="B9" s="34" t="s">
        <v>39</v>
      </c>
      <c r="C9" s="34">
        <v>0.01</v>
      </c>
      <c r="D9" s="34"/>
      <c r="E9" s="82"/>
      <c r="F9" s="34" t="s">
        <v>39</v>
      </c>
      <c r="G9" s="34">
        <v>0.01</v>
      </c>
      <c r="H9" s="34"/>
      <c r="I9" s="82"/>
      <c r="J9" s="34" t="s">
        <v>39</v>
      </c>
      <c r="K9" s="34">
        <v>0.01</v>
      </c>
      <c r="L9" s="34"/>
      <c r="M9" s="82"/>
      <c r="N9" s="34" t="s">
        <v>39</v>
      </c>
      <c r="O9" s="34">
        <v>0.01</v>
      </c>
      <c r="P9" s="34"/>
      <c r="Q9" s="82"/>
      <c r="R9" s="34" t="s">
        <v>39</v>
      </c>
      <c r="S9" s="34">
        <v>0.01</v>
      </c>
      <c r="T9" s="34"/>
      <c r="U9" s="82"/>
      <c r="V9" s="34" t="s">
        <v>39</v>
      </c>
      <c r="W9" s="34">
        <v>0.01</v>
      </c>
      <c r="X9" s="34"/>
    </row>
    <row r="10" spans="1:24" x14ac:dyDescent="0.2">
      <c r="A10" s="82"/>
      <c r="B10" s="34" t="s">
        <v>40</v>
      </c>
      <c r="C10" s="34">
        <v>0.01</v>
      </c>
      <c r="D10" s="34"/>
      <c r="E10" s="82"/>
      <c r="F10" s="34" t="s">
        <v>40</v>
      </c>
      <c r="G10" s="34">
        <v>0.01</v>
      </c>
      <c r="H10" s="34"/>
      <c r="I10" s="82"/>
      <c r="J10" s="34" t="s">
        <v>40</v>
      </c>
      <c r="K10" s="34">
        <v>0.01</v>
      </c>
      <c r="L10" s="34"/>
      <c r="M10" s="82"/>
      <c r="N10" s="34" t="s">
        <v>40</v>
      </c>
      <c r="O10" s="34">
        <v>0.01</v>
      </c>
      <c r="P10" s="34"/>
      <c r="Q10" s="82"/>
      <c r="R10" s="34" t="s">
        <v>40</v>
      </c>
      <c r="S10" s="34">
        <v>0.01</v>
      </c>
      <c r="T10" s="34"/>
      <c r="U10" s="82"/>
      <c r="V10" s="34" t="s">
        <v>40</v>
      </c>
      <c r="W10" s="34">
        <v>0.01</v>
      </c>
      <c r="X10" s="34"/>
    </row>
    <row r="11" spans="1:24" x14ac:dyDescent="0.2">
      <c r="A11" s="82"/>
      <c r="B11" s="34" t="s">
        <v>41</v>
      </c>
      <c r="C11" s="34">
        <v>0.01</v>
      </c>
      <c r="D11" s="34"/>
      <c r="E11" s="82"/>
      <c r="F11" s="34" t="s">
        <v>41</v>
      </c>
      <c r="G11" s="34">
        <v>0.01</v>
      </c>
      <c r="H11" s="34"/>
      <c r="I11" s="82"/>
      <c r="J11" s="34" t="s">
        <v>41</v>
      </c>
      <c r="K11" s="34">
        <v>0.01</v>
      </c>
      <c r="L11" s="34"/>
      <c r="M11" s="82"/>
      <c r="N11" s="34" t="s">
        <v>41</v>
      </c>
      <c r="O11" s="34">
        <v>0.01</v>
      </c>
      <c r="P11" s="34"/>
      <c r="Q11" s="82"/>
      <c r="R11" s="34" t="s">
        <v>41</v>
      </c>
      <c r="S11" s="34">
        <v>0.01</v>
      </c>
      <c r="T11" s="34"/>
      <c r="U11" s="82"/>
      <c r="V11" s="34" t="s">
        <v>41</v>
      </c>
      <c r="W11" s="34">
        <v>0.01</v>
      </c>
      <c r="X11" s="34"/>
    </row>
    <row r="12" spans="1:24" x14ac:dyDescent="0.2">
      <c r="A12" s="82"/>
      <c r="B12" s="34" t="s">
        <v>42</v>
      </c>
      <c r="C12" s="34">
        <v>0.01</v>
      </c>
      <c r="D12" s="34"/>
      <c r="E12" s="82"/>
      <c r="F12" s="34" t="s">
        <v>42</v>
      </c>
      <c r="G12" s="34">
        <v>0.01</v>
      </c>
      <c r="H12" s="34"/>
      <c r="I12" s="82"/>
      <c r="J12" s="34" t="s">
        <v>42</v>
      </c>
      <c r="K12" s="34">
        <v>0.01</v>
      </c>
      <c r="L12" s="34"/>
      <c r="M12" s="82"/>
      <c r="N12" s="34" t="s">
        <v>42</v>
      </c>
      <c r="O12" s="34">
        <v>0.01</v>
      </c>
      <c r="P12" s="34"/>
      <c r="Q12" s="82"/>
      <c r="R12" s="34" t="s">
        <v>42</v>
      </c>
      <c r="S12" s="34">
        <v>0.01</v>
      </c>
      <c r="T12" s="34"/>
      <c r="U12" s="82"/>
      <c r="V12" s="34" t="s">
        <v>42</v>
      </c>
      <c r="W12" s="34">
        <v>0.01</v>
      </c>
      <c r="X12" s="34"/>
    </row>
    <row r="13" spans="1:24" x14ac:dyDescent="0.2">
      <c r="A13" s="82"/>
      <c r="B13" s="42" t="s">
        <v>43</v>
      </c>
      <c r="C13" s="42">
        <v>0.01</v>
      </c>
      <c r="D13" s="42"/>
      <c r="E13" s="82"/>
      <c r="F13" s="34" t="s">
        <v>43</v>
      </c>
      <c r="G13" s="34">
        <v>0.01</v>
      </c>
      <c r="H13" s="34"/>
      <c r="I13" s="82"/>
      <c r="J13" s="34" t="s">
        <v>43</v>
      </c>
      <c r="K13" s="34">
        <v>0.01</v>
      </c>
      <c r="L13" s="34"/>
      <c r="M13" s="82"/>
      <c r="N13" s="34" t="s">
        <v>43</v>
      </c>
      <c r="O13" s="34">
        <v>0.01</v>
      </c>
      <c r="P13" s="34"/>
      <c r="Q13" s="82"/>
      <c r="R13" s="34" t="s">
        <v>43</v>
      </c>
      <c r="S13" s="34">
        <v>0.01</v>
      </c>
      <c r="T13" s="34"/>
      <c r="U13" s="82"/>
      <c r="V13" s="34" t="s">
        <v>43</v>
      </c>
      <c r="W13" s="34">
        <v>0.01</v>
      </c>
      <c r="X13" s="34"/>
    </row>
    <row r="14" spans="1:24" s="40" customFormat="1" x14ac:dyDescent="0.2">
      <c r="A14" s="83"/>
      <c r="B14" s="45"/>
      <c r="C14" s="46"/>
      <c r="D14" s="47"/>
      <c r="E14" s="84"/>
      <c r="F14" s="45"/>
      <c r="G14" s="46"/>
      <c r="H14" s="47"/>
      <c r="I14" s="82"/>
      <c r="J14" s="45"/>
      <c r="K14" s="46"/>
      <c r="L14" s="47"/>
      <c r="M14" s="82"/>
      <c r="N14" s="34" t="s">
        <v>48</v>
      </c>
      <c r="O14" s="34">
        <v>0.01</v>
      </c>
      <c r="P14" s="34"/>
      <c r="Q14" s="82"/>
      <c r="R14" s="34" t="s">
        <v>49</v>
      </c>
      <c r="S14" s="34">
        <v>0.01</v>
      </c>
      <c r="T14" s="34">
        <v>0</v>
      </c>
      <c r="U14" s="82"/>
      <c r="V14" s="34" t="s">
        <v>61</v>
      </c>
      <c r="W14" s="34">
        <v>0.01</v>
      </c>
      <c r="X14" s="34"/>
    </row>
    <row r="15" spans="1:24" s="40" customFormat="1" x14ac:dyDescent="0.2">
      <c r="A15" s="41" t="s">
        <v>62</v>
      </c>
      <c r="B15" s="44" t="s">
        <v>60</v>
      </c>
      <c r="C15" s="44" t="s">
        <v>58</v>
      </c>
      <c r="D15" s="44" t="s">
        <v>57</v>
      </c>
      <c r="E15" s="41"/>
      <c r="F15" s="41" t="s">
        <v>60</v>
      </c>
      <c r="G15" s="41" t="s">
        <v>58</v>
      </c>
      <c r="H15" s="41" t="s">
        <v>57</v>
      </c>
      <c r="I15" s="41"/>
      <c r="J15" s="41" t="s">
        <v>60</v>
      </c>
      <c r="K15" s="41" t="s">
        <v>58</v>
      </c>
      <c r="L15" s="41" t="s">
        <v>57</v>
      </c>
      <c r="M15" s="41"/>
      <c r="N15" s="41" t="s">
        <v>60</v>
      </c>
      <c r="O15" s="41" t="s">
        <v>58</v>
      </c>
      <c r="P15" s="41" t="s">
        <v>57</v>
      </c>
      <c r="Q15" s="41"/>
      <c r="R15" s="41" t="s">
        <v>60</v>
      </c>
      <c r="S15" s="41" t="s">
        <v>58</v>
      </c>
      <c r="T15" s="41" t="s">
        <v>57</v>
      </c>
      <c r="U15" s="41"/>
      <c r="V15" s="41" t="s">
        <v>60</v>
      </c>
      <c r="W15" s="41" t="s">
        <v>58</v>
      </c>
      <c r="X15" s="41" t="s">
        <v>57</v>
      </c>
    </row>
    <row r="16" spans="1:24" s="40" customFormat="1" x14ac:dyDescent="0.2">
      <c r="A16" s="82" t="s">
        <v>199</v>
      </c>
      <c r="B16" s="34" t="s">
        <v>2</v>
      </c>
      <c r="C16" s="34">
        <v>0.01</v>
      </c>
      <c r="D16" s="34"/>
      <c r="E16" s="82" t="s">
        <v>200</v>
      </c>
      <c r="F16" s="34" t="s">
        <v>2</v>
      </c>
      <c r="G16" s="34">
        <v>0.01</v>
      </c>
      <c r="H16" s="34"/>
      <c r="I16" s="82" t="s">
        <v>201</v>
      </c>
      <c r="J16" s="34" t="s">
        <v>2</v>
      </c>
      <c r="K16" s="34">
        <v>0.01</v>
      </c>
      <c r="L16" s="34"/>
      <c r="M16" s="82" t="s">
        <v>202</v>
      </c>
      <c r="N16" s="34" t="s">
        <v>2</v>
      </c>
      <c r="O16" s="34">
        <v>0.01</v>
      </c>
      <c r="P16" s="34"/>
      <c r="Q16" s="82" t="s">
        <v>203</v>
      </c>
      <c r="R16" s="34" t="s">
        <v>2</v>
      </c>
      <c r="S16" s="34">
        <v>0.01</v>
      </c>
      <c r="T16" s="34"/>
      <c r="U16" s="82" t="s">
        <v>204</v>
      </c>
      <c r="V16" s="34" t="s">
        <v>2</v>
      </c>
      <c r="W16" s="34">
        <v>0.01</v>
      </c>
      <c r="X16" s="34"/>
    </row>
    <row r="17" spans="1:24" s="40" customFormat="1" x14ac:dyDescent="0.2">
      <c r="A17" s="82"/>
      <c r="B17" s="34" t="s">
        <v>4</v>
      </c>
      <c r="C17" s="34">
        <v>0.01</v>
      </c>
      <c r="D17" s="34"/>
      <c r="E17" s="82"/>
      <c r="F17" s="34" t="s">
        <v>4</v>
      </c>
      <c r="G17" s="34">
        <v>0.01</v>
      </c>
      <c r="H17" s="34"/>
      <c r="I17" s="82"/>
      <c r="J17" s="34" t="s">
        <v>4</v>
      </c>
      <c r="K17" s="34">
        <v>0.01</v>
      </c>
      <c r="L17" s="34"/>
      <c r="M17" s="82"/>
      <c r="N17" s="34" t="s">
        <v>4</v>
      </c>
      <c r="O17" s="34">
        <v>0.01</v>
      </c>
      <c r="P17" s="34"/>
      <c r="Q17" s="82"/>
      <c r="R17" s="34" t="s">
        <v>4</v>
      </c>
      <c r="S17" s="34">
        <v>0.01</v>
      </c>
      <c r="T17" s="34"/>
      <c r="U17" s="82"/>
      <c r="V17" s="34" t="s">
        <v>4</v>
      </c>
      <c r="W17" s="34">
        <v>0.01</v>
      </c>
      <c r="X17" s="34"/>
    </row>
    <row r="18" spans="1:24" s="40" customFormat="1" x14ac:dyDescent="0.2">
      <c r="A18" s="82"/>
      <c r="B18" s="34" t="s">
        <v>3</v>
      </c>
      <c r="C18" s="34">
        <v>0.01</v>
      </c>
      <c r="D18" s="34"/>
      <c r="E18" s="82"/>
      <c r="F18" s="34" t="s">
        <v>3</v>
      </c>
      <c r="G18" s="34">
        <v>0.01</v>
      </c>
      <c r="H18" s="34"/>
      <c r="I18" s="82"/>
      <c r="J18" s="34" t="s">
        <v>3</v>
      </c>
      <c r="K18" s="34">
        <v>0.01</v>
      </c>
      <c r="L18" s="34"/>
      <c r="M18" s="82"/>
      <c r="N18" s="34" t="s">
        <v>3</v>
      </c>
      <c r="O18" s="34">
        <v>0.01</v>
      </c>
      <c r="P18" s="34"/>
      <c r="Q18" s="82"/>
      <c r="R18" s="34" t="s">
        <v>3</v>
      </c>
      <c r="S18" s="34">
        <v>0.01</v>
      </c>
      <c r="T18" s="34"/>
      <c r="U18" s="82"/>
      <c r="V18" s="34" t="s">
        <v>3</v>
      </c>
      <c r="W18" s="34">
        <v>0.01</v>
      </c>
      <c r="X18" s="34"/>
    </row>
    <row r="19" spans="1:24" s="40" customFormat="1" x14ac:dyDescent="0.2">
      <c r="A19" s="82"/>
      <c r="B19" s="34" t="s">
        <v>46</v>
      </c>
      <c r="C19" s="34">
        <v>0.02</v>
      </c>
      <c r="D19" s="34"/>
      <c r="E19" s="82"/>
      <c r="F19" s="34" t="s">
        <v>46</v>
      </c>
      <c r="G19" s="34">
        <v>0.02</v>
      </c>
      <c r="H19" s="34"/>
      <c r="I19" s="82"/>
      <c r="J19" s="34" t="s">
        <v>46</v>
      </c>
      <c r="K19" s="34">
        <v>0.02</v>
      </c>
      <c r="L19" s="34"/>
      <c r="M19" s="82"/>
      <c r="N19" s="34" t="s">
        <v>46</v>
      </c>
      <c r="O19" s="34">
        <v>0.02</v>
      </c>
      <c r="P19" s="34"/>
      <c r="Q19" s="82"/>
      <c r="R19" s="34" t="s">
        <v>46</v>
      </c>
      <c r="S19" s="34">
        <v>0.02</v>
      </c>
      <c r="T19" s="34"/>
      <c r="U19" s="82"/>
      <c r="V19" s="34" t="s">
        <v>46</v>
      </c>
      <c r="W19" s="34">
        <v>0.02</v>
      </c>
      <c r="X19" s="34"/>
    </row>
    <row r="20" spans="1:24" s="40" customFormat="1" x14ac:dyDescent="0.2">
      <c r="A20" s="82"/>
      <c r="B20" s="34" t="s">
        <v>47</v>
      </c>
      <c r="C20" s="34">
        <v>0.02</v>
      </c>
      <c r="D20" s="34"/>
      <c r="E20" s="82"/>
      <c r="F20" s="34" t="s">
        <v>47</v>
      </c>
      <c r="G20" s="34">
        <v>0.02</v>
      </c>
      <c r="H20" s="34"/>
      <c r="I20" s="82"/>
      <c r="J20" s="34" t="s">
        <v>47</v>
      </c>
      <c r="K20" s="34">
        <v>0.02</v>
      </c>
      <c r="L20" s="34"/>
      <c r="M20" s="82"/>
      <c r="N20" s="34" t="s">
        <v>47</v>
      </c>
      <c r="O20" s="34">
        <v>0.02</v>
      </c>
      <c r="P20" s="34"/>
      <c r="Q20" s="82"/>
      <c r="R20" s="34" t="s">
        <v>47</v>
      </c>
      <c r="S20" s="34">
        <v>0.02</v>
      </c>
      <c r="T20" s="34"/>
      <c r="U20" s="82"/>
      <c r="V20" s="34" t="s">
        <v>47</v>
      </c>
      <c r="W20" s="34">
        <v>0.02</v>
      </c>
      <c r="X20" s="34"/>
    </row>
    <row r="21" spans="1:24" s="40" customFormat="1" x14ac:dyDescent="0.2">
      <c r="A21" s="82"/>
      <c r="B21" s="34" t="s">
        <v>45</v>
      </c>
      <c r="C21" s="34">
        <v>0.01</v>
      </c>
      <c r="D21" s="34"/>
      <c r="E21" s="82"/>
      <c r="F21" s="34" t="s">
        <v>45</v>
      </c>
      <c r="G21" s="34">
        <v>0.01</v>
      </c>
      <c r="H21" s="34"/>
      <c r="I21" s="82"/>
      <c r="J21" s="34" t="s">
        <v>45</v>
      </c>
      <c r="K21" s="34">
        <v>0.01</v>
      </c>
      <c r="L21" s="34"/>
      <c r="M21" s="82"/>
      <c r="N21" s="34" t="s">
        <v>45</v>
      </c>
      <c r="O21" s="34">
        <v>0.01</v>
      </c>
      <c r="P21" s="34"/>
      <c r="Q21" s="82"/>
      <c r="R21" s="34" t="s">
        <v>45</v>
      </c>
      <c r="S21" s="34">
        <v>0.01</v>
      </c>
      <c r="T21" s="34"/>
      <c r="U21" s="82"/>
      <c r="V21" s="34" t="s">
        <v>45</v>
      </c>
      <c r="W21" s="34">
        <v>0.01</v>
      </c>
      <c r="X21" s="34"/>
    </row>
    <row r="22" spans="1:24" s="40" customFormat="1" x14ac:dyDescent="0.2">
      <c r="A22" s="82"/>
      <c r="B22" s="34" t="s">
        <v>38</v>
      </c>
      <c r="C22" s="34">
        <v>0.01</v>
      </c>
      <c r="D22" s="34"/>
      <c r="E22" s="82"/>
      <c r="F22" s="34" t="s">
        <v>38</v>
      </c>
      <c r="G22" s="34">
        <v>0.01</v>
      </c>
      <c r="H22" s="34"/>
      <c r="I22" s="82"/>
      <c r="J22" s="34" t="s">
        <v>38</v>
      </c>
      <c r="K22" s="34">
        <v>0.01</v>
      </c>
      <c r="L22" s="34"/>
      <c r="M22" s="82"/>
      <c r="N22" s="34" t="s">
        <v>38</v>
      </c>
      <c r="O22" s="34">
        <v>0.01</v>
      </c>
      <c r="P22" s="34"/>
      <c r="Q22" s="82"/>
      <c r="R22" s="34" t="s">
        <v>38</v>
      </c>
      <c r="S22" s="34">
        <v>0.01</v>
      </c>
      <c r="T22" s="34"/>
      <c r="U22" s="82"/>
      <c r="V22" s="34" t="s">
        <v>38</v>
      </c>
      <c r="W22" s="34">
        <v>0.01</v>
      </c>
      <c r="X22" s="34"/>
    </row>
    <row r="23" spans="1:24" s="40" customFormat="1" x14ac:dyDescent="0.2">
      <c r="A23" s="82"/>
      <c r="B23" s="34" t="s">
        <v>39</v>
      </c>
      <c r="C23" s="34">
        <v>0.01</v>
      </c>
      <c r="D23" s="34"/>
      <c r="E23" s="82"/>
      <c r="F23" s="34" t="s">
        <v>39</v>
      </c>
      <c r="G23" s="34">
        <v>0.01</v>
      </c>
      <c r="H23" s="34"/>
      <c r="I23" s="82"/>
      <c r="J23" s="34" t="s">
        <v>39</v>
      </c>
      <c r="K23" s="34">
        <v>0.01</v>
      </c>
      <c r="L23" s="34"/>
      <c r="M23" s="82"/>
      <c r="N23" s="34" t="s">
        <v>39</v>
      </c>
      <c r="O23" s="34">
        <v>0.01</v>
      </c>
      <c r="P23" s="34"/>
      <c r="Q23" s="82"/>
      <c r="R23" s="34" t="s">
        <v>39</v>
      </c>
      <c r="S23" s="34">
        <v>0.01</v>
      </c>
      <c r="T23" s="34"/>
      <c r="U23" s="82"/>
      <c r="V23" s="34" t="s">
        <v>39</v>
      </c>
      <c r="W23" s="34">
        <v>0.01</v>
      </c>
      <c r="X23" s="34"/>
    </row>
    <row r="24" spans="1:24" s="40" customFormat="1" x14ac:dyDescent="0.2">
      <c r="A24" s="82"/>
      <c r="B24" s="34" t="s">
        <v>40</v>
      </c>
      <c r="C24" s="34">
        <v>0.01</v>
      </c>
      <c r="D24" s="34"/>
      <c r="E24" s="82"/>
      <c r="F24" s="34" t="s">
        <v>40</v>
      </c>
      <c r="G24" s="34">
        <v>0.01</v>
      </c>
      <c r="H24" s="34"/>
      <c r="I24" s="82"/>
      <c r="J24" s="34" t="s">
        <v>40</v>
      </c>
      <c r="K24" s="34">
        <v>0.01</v>
      </c>
      <c r="L24" s="34"/>
      <c r="M24" s="82"/>
      <c r="N24" s="34" t="s">
        <v>40</v>
      </c>
      <c r="O24" s="34">
        <v>0.01</v>
      </c>
      <c r="P24" s="34"/>
      <c r="Q24" s="82"/>
      <c r="R24" s="34" t="s">
        <v>40</v>
      </c>
      <c r="S24" s="34">
        <v>0.01</v>
      </c>
      <c r="T24" s="34"/>
      <c r="U24" s="82"/>
      <c r="V24" s="34" t="s">
        <v>40</v>
      </c>
      <c r="W24" s="34">
        <v>0.01</v>
      </c>
      <c r="X24" s="34"/>
    </row>
    <row r="25" spans="1:24" s="40" customFormat="1" x14ac:dyDescent="0.2">
      <c r="A25" s="82"/>
      <c r="B25" s="34" t="s">
        <v>41</v>
      </c>
      <c r="C25" s="34">
        <v>0.01</v>
      </c>
      <c r="D25" s="34"/>
      <c r="E25" s="82"/>
      <c r="F25" s="34" t="s">
        <v>41</v>
      </c>
      <c r="G25" s="34">
        <v>0.01</v>
      </c>
      <c r="H25" s="34"/>
      <c r="I25" s="82"/>
      <c r="J25" s="34" t="s">
        <v>41</v>
      </c>
      <c r="K25" s="34">
        <v>0.01</v>
      </c>
      <c r="L25" s="34"/>
      <c r="M25" s="82"/>
      <c r="N25" s="34" t="s">
        <v>41</v>
      </c>
      <c r="O25" s="34">
        <v>0.01</v>
      </c>
      <c r="P25" s="34"/>
      <c r="Q25" s="82"/>
      <c r="R25" s="34" t="s">
        <v>41</v>
      </c>
      <c r="S25" s="34">
        <v>0.01</v>
      </c>
      <c r="T25" s="34"/>
      <c r="U25" s="82"/>
      <c r="V25" s="34" t="s">
        <v>41</v>
      </c>
      <c r="W25" s="34">
        <v>0.01</v>
      </c>
      <c r="X25" s="34"/>
    </row>
    <row r="26" spans="1:24" s="40" customFormat="1" x14ac:dyDescent="0.2">
      <c r="A26" s="82"/>
      <c r="B26" s="34" t="s">
        <v>42</v>
      </c>
      <c r="C26" s="34">
        <v>0.01</v>
      </c>
      <c r="D26" s="34"/>
      <c r="E26" s="82"/>
      <c r="F26" s="34" t="s">
        <v>42</v>
      </c>
      <c r="G26" s="34">
        <v>0.01</v>
      </c>
      <c r="H26" s="34"/>
      <c r="I26" s="82"/>
      <c r="J26" s="34" t="s">
        <v>42</v>
      </c>
      <c r="K26" s="34">
        <v>0.01</v>
      </c>
      <c r="L26" s="34"/>
      <c r="M26" s="82"/>
      <c r="N26" s="34" t="s">
        <v>42</v>
      </c>
      <c r="O26" s="34">
        <v>0.01</v>
      </c>
      <c r="P26" s="34"/>
      <c r="Q26" s="82"/>
      <c r="R26" s="34" t="s">
        <v>42</v>
      </c>
      <c r="S26" s="34">
        <v>0.01</v>
      </c>
      <c r="T26" s="34"/>
      <c r="U26" s="82"/>
      <c r="V26" s="34" t="s">
        <v>42</v>
      </c>
      <c r="W26" s="34">
        <v>0.01</v>
      </c>
      <c r="X26" s="34"/>
    </row>
    <row r="27" spans="1:24" s="40" customFormat="1" x14ac:dyDescent="0.2">
      <c r="A27" s="82"/>
      <c r="B27" s="34" t="s">
        <v>43</v>
      </c>
      <c r="C27" s="34">
        <v>0.01</v>
      </c>
      <c r="D27" s="34"/>
      <c r="E27" s="82"/>
      <c r="F27" s="34" t="s">
        <v>43</v>
      </c>
      <c r="G27" s="34">
        <v>0.01</v>
      </c>
      <c r="H27" s="34"/>
      <c r="I27" s="82"/>
      <c r="J27" s="34" t="s">
        <v>43</v>
      </c>
      <c r="K27" s="34">
        <v>0.01</v>
      </c>
      <c r="L27" s="34"/>
      <c r="M27" s="82"/>
      <c r="N27" s="34" t="s">
        <v>43</v>
      </c>
      <c r="O27" s="34">
        <v>0.01</v>
      </c>
      <c r="P27" s="34"/>
      <c r="Q27" s="82"/>
      <c r="R27" s="34" t="s">
        <v>43</v>
      </c>
      <c r="S27" s="34">
        <v>0.01</v>
      </c>
      <c r="T27" s="34"/>
      <c r="U27" s="82"/>
      <c r="V27" s="34" t="s">
        <v>43</v>
      </c>
      <c r="W27" s="34">
        <v>0.01</v>
      </c>
      <c r="X27" s="34"/>
    </row>
    <row r="28" spans="1:24" s="40" customFormat="1" x14ac:dyDescent="0.2">
      <c r="A28" s="83"/>
      <c r="B28" s="45"/>
      <c r="C28" s="46"/>
      <c r="D28" s="47"/>
      <c r="E28" s="84"/>
      <c r="F28" s="45"/>
      <c r="G28" s="46"/>
      <c r="H28" s="47"/>
      <c r="I28" s="82"/>
      <c r="J28" s="45"/>
      <c r="K28" s="46"/>
      <c r="L28" s="47"/>
      <c r="M28" s="82"/>
      <c r="N28" s="34" t="s">
        <v>48</v>
      </c>
      <c r="O28" s="34">
        <v>0.01</v>
      </c>
      <c r="P28" s="34"/>
      <c r="Q28" s="82"/>
      <c r="R28" s="34" t="s">
        <v>49</v>
      </c>
      <c r="S28" s="34">
        <v>0.01</v>
      </c>
      <c r="T28" s="34"/>
      <c r="U28" s="82"/>
      <c r="V28" s="34" t="s">
        <v>61</v>
      </c>
      <c r="W28" s="34">
        <v>0.01</v>
      </c>
      <c r="X28" s="34"/>
    </row>
    <row r="29" spans="1:24" x14ac:dyDescent="0.2">
      <c r="D29" s="33"/>
    </row>
    <row r="30" spans="1:24" x14ac:dyDescent="0.2">
      <c r="D30" s="33"/>
    </row>
    <row r="31" spans="1:24" x14ac:dyDescent="0.2">
      <c r="D31" s="33"/>
    </row>
    <row r="32" spans="1:24" x14ac:dyDescent="0.2">
      <c r="D32" s="33"/>
    </row>
    <row r="33" spans="4:4" x14ac:dyDescent="0.2">
      <c r="D33" s="33"/>
    </row>
    <row r="34" spans="4:4" x14ac:dyDescent="0.2">
      <c r="D34" s="33"/>
    </row>
    <row r="35" spans="4:4" x14ac:dyDescent="0.2">
      <c r="D35" s="33"/>
    </row>
    <row r="36" spans="4:4" x14ac:dyDescent="0.2">
      <c r="D36" s="33"/>
    </row>
    <row r="37" spans="4:4" x14ac:dyDescent="0.2">
      <c r="D37" s="33"/>
    </row>
    <row r="38" spans="4:4" x14ac:dyDescent="0.2">
      <c r="D38" s="33"/>
    </row>
    <row r="39" spans="4:4" x14ac:dyDescent="0.2">
      <c r="D39" s="33"/>
    </row>
    <row r="40" spans="4:4" x14ac:dyDescent="0.2">
      <c r="D40" s="33"/>
    </row>
    <row r="41" spans="4:4" x14ac:dyDescent="0.2">
      <c r="D41" s="33"/>
    </row>
    <row r="42" spans="4:4" x14ac:dyDescent="0.2">
      <c r="D42" s="33"/>
    </row>
    <row r="43" spans="4:4" x14ac:dyDescent="0.2">
      <c r="D43" s="33"/>
    </row>
    <row r="44" spans="4:4" x14ac:dyDescent="0.2">
      <c r="D44" s="33"/>
    </row>
    <row r="45" spans="4:4" x14ac:dyDescent="0.2">
      <c r="D45" s="33"/>
    </row>
    <row r="46" spans="4:4" x14ac:dyDescent="0.2">
      <c r="D46" s="33"/>
    </row>
    <row r="47" spans="4:4" x14ac:dyDescent="0.2">
      <c r="D47" s="33"/>
    </row>
    <row r="48" spans="4:4" x14ac:dyDescent="0.2">
      <c r="D48" s="33"/>
    </row>
    <row r="49" spans="4:4" x14ac:dyDescent="0.2">
      <c r="D49" s="33"/>
    </row>
    <row r="50" spans="4:4" x14ac:dyDescent="0.2">
      <c r="D50" s="33"/>
    </row>
    <row r="51" spans="4:4" x14ac:dyDescent="0.2">
      <c r="D51" s="33"/>
    </row>
    <row r="52" spans="4:4" x14ac:dyDescent="0.2">
      <c r="D52" s="33"/>
    </row>
    <row r="53" spans="4:4" x14ac:dyDescent="0.2">
      <c r="D53" s="33"/>
    </row>
  </sheetData>
  <mergeCells count="12">
    <mergeCell ref="U2:U14"/>
    <mergeCell ref="A16:A28"/>
    <mergeCell ref="E16:E28"/>
    <mergeCell ref="I16:I28"/>
    <mergeCell ref="M16:M28"/>
    <mergeCell ref="Q16:Q28"/>
    <mergeCell ref="U16:U28"/>
    <mergeCell ref="A2:A14"/>
    <mergeCell ref="E2:E14"/>
    <mergeCell ref="I2:I14"/>
    <mergeCell ref="M2:M14"/>
    <mergeCell ref="Q2:Q14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26</vt:i4>
      </vt:variant>
    </vt:vector>
  </HeadingPairs>
  <TitlesOfParts>
    <vt:vector size="34" baseType="lpstr">
      <vt:lpstr>兵种属性</vt:lpstr>
      <vt:lpstr>卡牌属性</vt:lpstr>
      <vt:lpstr>圣兽</vt:lpstr>
      <vt:lpstr>常量</vt:lpstr>
      <vt:lpstr>战斗</vt:lpstr>
      <vt:lpstr>逻辑图</vt:lpstr>
      <vt:lpstr>详细公式</vt:lpstr>
      <vt:lpstr>兵种强化</vt:lpstr>
      <vt:lpstr>defexport</vt:lpstr>
      <vt:lpstr>defmaster</vt:lpstr>
      <vt:lpstr>defsoldier</vt:lpstr>
      <vt:lpstr>defsoldier1</vt:lpstr>
      <vt:lpstr>defsoldier2</vt:lpstr>
      <vt:lpstr>defsoldier3</vt:lpstr>
      <vt:lpstr>defsoldier4</vt:lpstr>
      <vt:lpstr>defsoldier5</vt:lpstr>
      <vt:lpstr>defsoldier6</vt:lpstr>
      <vt:lpstr>master</vt:lpstr>
      <vt:lpstr>monster</vt:lpstr>
      <vt:lpstr>offexport</vt:lpstr>
      <vt:lpstr>offmaster</vt:lpstr>
      <vt:lpstr>offsoldier</vt:lpstr>
      <vt:lpstr>offsoldier1</vt:lpstr>
      <vt:lpstr>offsoldier2</vt:lpstr>
      <vt:lpstr>offsoldier3</vt:lpstr>
      <vt:lpstr>offsoldier4</vt:lpstr>
      <vt:lpstr>offsoldier5</vt:lpstr>
      <vt:lpstr>offsoldier6</vt:lpstr>
      <vt:lpstr>soldier1</vt:lpstr>
      <vt:lpstr>soldier2</vt:lpstr>
      <vt:lpstr>soldier3</vt:lpstr>
      <vt:lpstr>soldier4</vt:lpstr>
      <vt:lpstr>soldier5</vt:lpstr>
      <vt:lpstr>soldier6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2020-12-16T12:06:25Z</dcterms:modified>
</cp:coreProperties>
</file>